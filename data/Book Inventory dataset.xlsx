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Desktop\Datasets\excel\Book Inventory dataset\"/>
    </mc:Choice>
  </mc:AlternateContent>
  <xr:revisionPtr revIDLastSave="0" documentId="8_{6E446E11-7680-48B0-BD67-7634B3597794}" xr6:coauthVersionLast="47" xr6:coauthVersionMax="47" xr10:uidLastSave="{00000000-0000-0000-0000-000000000000}"/>
  <bookViews>
    <workbookView xWindow="-110" yWindow="-110" windowWidth="19420" windowHeight="10300" firstSheet="6" activeTab="8" xr2:uid="{B46BFAAA-E37F-4284-9035-13A8A1B8AEB7}"/>
  </bookViews>
  <sheets>
    <sheet name="Book Inventory" sheetId="1" r:id="rId1"/>
    <sheet name="Cleaned sheet" sheetId="3" r:id="rId2"/>
    <sheet name="Book Store Table" sheetId="5" r:id="rId3"/>
    <sheet name="Metrics" sheetId="6" r:id="rId4"/>
    <sheet name="Revenue By Book" sheetId="7" r:id="rId5"/>
    <sheet name="Revenue by Genre" sheetId="8" r:id="rId6"/>
    <sheet name="Revenue by Author" sheetId="10" r:id="rId7"/>
    <sheet name="Sales trend overtime" sheetId="9" r:id="rId8"/>
    <sheet name="Book Inventory Dashboard" sheetId="12" r:id="rId9"/>
  </sheets>
  <definedNames>
    <definedName name="_xlnm._FilterDatabase" localSheetId="2" hidden="1">'Book Store Table'!$A$1:$H$1</definedName>
    <definedName name="_xlnm._FilterDatabase" localSheetId="1" hidden="1">'Cleaned sheet'!$A$1:$H$26</definedName>
    <definedName name="_xlcn.WorksheetConnection_Book20Inventory20datasetversion1.xlsbBook_Store_Table1" hidden="1">Book_Store_Table[]</definedName>
    <definedName name="Slicer_Genre">#N/A</definedName>
    <definedName name="Slicer_Publication_Year">#N/A</definedName>
  </definedNames>
  <calcPr calcId="191029"/>
  <pivotCaches>
    <pivotCache cacheId="0" r:id="rId10"/>
    <pivotCache cacheId="1"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_Store_Table" name="Book_Store_Table" connection="WorksheetConnection_Book%20Inventory%20dataset (version 1).xlsb!Book_Store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5" l="1"/>
  <c r="H25" i="5"/>
  <c r="H24" i="5"/>
  <c r="H23" i="5"/>
  <c r="H22" i="5"/>
  <c r="H21" i="5"/>
  <c r="H20" i="5"/>
  <c r="H19" i="5"/>
  <c r="H18" i="5"/>
  <c r="H17" i="5"/>
  <c r="H16" i="5"/>
  <c r="H15" i="5"/>
  <c r="H14" i="5"/>
  <c r="H13" i="5"/>
  <c r="H12" i="5"/>
  <c r="H11" i="5"/>
  <c r="H10" i="5"/>
  <c r="H9" i="5"/>
  <c r="H8" i="5"/>
  <c r="H7" i="5"/>
  <c r="H6" i="5"/>
  <c r="H5" i="5"/>
  <c r="H4" i="5"/>
  <c r="H3" i="5"/>
  <c r="H2" i="5"/>
  <c r="H3" i="3"/>
  <c r="H4" i="3"/>
  <c r="H5" i="3"/>
  <c r="H6" i="3"/>
  <c r="H7" i="3"/>
  <c r="H8" i="3"/>
  <c r="H9" i="3"/>
  <c r="H10" i="3"/>
  <c r="H11" i="3"/>
  <c r="H12" i="3"/>
  <c r="H13" i="3"/>
  <c r="H14" i="3"/>
  <c r="H15" i="3"/>
  <c r="H16" i="3"/>
  <c r="H17" i="3"/>
  <c r="H18" i="3"/>
  <c r="H19" i="3"/>
  <c r="H20" i="3"/>
  <c r="H21" i="3"/>
  <c r="H22" i="3"/>
  <c r="H23" i="3"/>
  <c r="H24" i="3"/>
  <c r="H25" i="3"/>
  <c r="H26" i="3"/>
  <c r="H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F06609-6A4D-4B8F-9CEC-81EA50C933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C34A27-42E5-436E-9CF4-4CE6DB562D27}" name="WorksheetConnection_Book%20Inventory%20dataset (version 1).xlsb!Book_Store_Table" type="102" refreshedVersion="8" minRefreshableVersion="5">
    <extLst>
      <ext xmlns:x15="http://schemas.microsoft.com/office/spreadsheetml/2010/11/main" uri="{DE250136-89BD-433C-8126-D09CA5730AF9}">
        <x15:connection id="Book_Store_Table" autoDelete="1">
          <x15:rangePr sourceName="_xlcn.WorksheetConnection_Book20Inventory20datasetversion1.xlsbBook_Store_Table1"/>
        </x15:connection>
      </ext>
    </extLst>
  </connection>
</connections>
</file>

<file path=xl/sharedStrings.xml><?xml version="1.0" encoding="utf-8"?>
<sst xmlns="http://schemas.openxmlformats.org/spreadsheetml/2006/main" count="437" uniqueCount="125">
  <si>
    <t>Book ID</t>
  </si>
  <si>
    <t>Title</t>
  </si>
  <si>
    <t>Author</t>
  </si>
  <si>
    <t xml:space="preserve">Genre </t>
  </si>
  <si>
    <t>Publication Year</t>
  </si>
  <si>
    <t>Price</t>
  </si>
  <si>
    <t>Stock Quantity</t>
  </si>
  <si>
    <t>BK001</t>
  </si>
  <si>
    <t>The Hitchhiker's Guide to the Galaxy</t>
  </si>
  <si>
    <t>Douglas Adams</t>
  </si>
  <si>
    <t>Sci-Fi</t>
  </si>
  <si>
    <t>BK002</t>
  </si>
  <si>
    <t>Pride and Prejudice</t>
  </si>
  <si>
    <t>Jane Austen</t>
  </si>
  <si>
    <t>Fiction</t>
  </si>
  <si>
    <t>BK003</t>
  </si>
  <si>
    <t>Sapiens: A Brief History of Humankind</t>
  </si>
  <si>
    <t>Yuval Noah Harari</t>
  </si>
  <si>
    <t>Non-Fiction</t>
  </si>
  <si>
    <t>BK004</t>
  </si>
  <si>
    <t>George Orwell</t>
  </si>
  <si>
    <t>BK005</t>
  </si>
  <si>
    <t>The Lord of the Rings</t>
  </si>
  <si>
    <t>J.R.R. Tolkien</t>
  </si>
  <si>
    <t>Fantasy</t>
  </si>
  <si>
    <t>BK006</t>
  </si>
  <si>
    <t>The Catcher in the Rye</t>
  </si>
  <si>
    <t>J.D. Salinger</t>
  </si>
  <si>
    <t>BK007</t>
  </si>
  <si>
    <t>Atomic Habits</t>
  </si>
  <si>
    <t>James Clear</t>
  </si>
  <si>
    <t>Self-Help</t>
  </si>
  <si>
    <t>BK008</t>
  </si>
  <si>
    <t>The Silent Patient</t>
  </si>
  <si>
    <t>Alex Michaelides</t>
  </si>
  <si>
    <t>Mystery</t>
  </si>
  <si>
    <t>BK009</t>
  </si>
  <si>
    <t>Dune</t>
  </si>
  <si>
    <t>Frank Herbert</t>
  </si>
  <si>
    <t>BK010</t>
  </si>
  <si>
    <t>Educated</t>
  </si>
  <si>
    <t>Tara Westover</t>
  </si>
  <si>
    <t>Biography</t>
  </si>
  <si>
    <t>BK011</t>
  </si>
  <si>
    <t>BK012</t>
  </si>
  <si>
    <t>The Psychology of Money</t>
  </si>
  <si>
    <t>Morgan Housel</t>
  </si>
  <si>
    <t>Finance</t>
  </si>
  <si>
    <t>The Midnight Library</t>
  </si>
  <si>
    <t>Matt Haig</t>
  </si>
  <si>
    <t>BK013</t>
  </si>
  <si>
    <t>Where the Crawdads Sing</t>
  </si>
  <si>
    <t>Delia Owens</t>
  </si>
  <si>
    <t>BK014</t>
  </si>
  <si>
    <t>The Book Thief</t>
  </si>
  <si>
    <t>Markus Zusak</t>
  </si>
  <si>
    <t>Historical Fiction</t>
  </si>
  <si>
    <t>BK015</t>
  </si>
  <si>
    <t>The Alchemist</t>
  </si>
  <si>
    <t>Paulo Coelho</t>
  </si>
  <si>
    <t>BK016</t>
  </si>
  <si>
    <t>Thinking</t>
  </si>
  <si>
    <t>Daniel Kahneman</t>
  </si>
  <si>
    <t>Psychology</t>
  </si>
  <si>
    <t>BK017</t>
  </si>
  <si>
    <t>The Girl with the Dragon Tattoo</t>
  </si>
  <si>
    <t>Stieg Larsson</t>
  </si>
  <si>
    <t>BK018</t>
  </si>
  <si>
    <t>The Road</t>
  </si>
  <si>
    <t>Cormac McCarthy</t>
  </si>
  <si>
    <t>BK019</t>
  </si>
  <si>
    <t>The Lean Startup</t>
  </si>
  <si>
    <t>Eric Ries</t>
  </si>
  <si>
    <t>Business</t>
  </si>
  <si>
    <t>BK020</t>
  </si>
  <si>
    <t>The Power of Now</t>
  </si>
  <si>
    <t>Eckhart Tolle</t>
  </si>
  <si>
    <t>BK021</t>
  </si>
  <si>
    <t>The Name of the Wind</t>
  </si>
  <si>
    <t>Patrick Rothfuss</t>
  </si>
  <si>
    <t>BK022</t>
  </si>
  <si>
    <t>The Immortal Life of Henrietta Lacks</t>
  </si>
  <si>
    <t>Rebecca Skloot</t>
  </si>
  <si>
    <t>BK023</t>
  </si>
  <si>
    <t>The Martian</t>
  </si>
  <si>
    <t>Andy Weir</t>
  </si>
  <si>
    <t>BK024</t>
  </si>
  <si>
    <t>The Nightingale</t>
  </si>
  <si>
    <t>Kristin Hannah</t>
  </si>
  <si>
    <t>BK025</t>
  </si>
  <si>
    <t>The Five People You Meet in Heaven</t>
  </si>
  <si>
    <t>Mitch Albom</t>
  </si>
  <si>
    <t>Thinking Fast and Slow</t>
  </si>
  <si>
    <t>Genre</t>
  </si>
  <si>
    <t>Publication_Year</t>
  </si>
  <si>
    <t>BK00-1</t>
  </si>
  <si>
    <t>the Hitchhiker's Guide to the Galaxy</t>
  </si>
  <si>
    <t>Sci--Fi</t>
  </si>
  <si>
    <t>12..99</t>
  </si>
  <si>
    <t>BK00-2</t>
  </si>
  <si>
    <t>fiction</t>
  </si>
  <si>
    <t>BK00 3</t>
  </si>
  <si>
    <t>25..00</t>
  </si>
  <si>
    <t>J.D. Salinger.</t>
  </si>
  <si>
    <t>11..80</t>
  </si>
  <si>
    <t>BK010;</t>
  </si>
  <si>
    <t>Fictions</t>
  </si>
  <si>
    <t>historical fiction</t>
  </si>
  <si>
    <t>FasT and Slow</t>
  </si>
  <si>
    <t>18;</t>
  </si>
  <si>
    <t>business</t>
  </si>
  <si>
    <t>The PoweR of Now</t>
  </si>
  <si>
    <t>Self--Help</t>
  </si>
  <si>
    <t>Non--Fiction</t>
  </si>
  <si>
    <t>The martian</t>
  </si>
  <si>
    <t>The nightingale</t>
  </si>
  <si>
    <t>historical fictions</t>
  </si>
  <si>
    <t>The five People You Meet in Heaven</t>
  </si>
  <si>
    <t>Revenue</t>
  </si>
  <si>
    <t>Row Labels</t>
  </si>
  <si>
    <t>Grand Total</t>
  </si>
  <si>
    <t>Count of Book ID</t>
  </si>
  <si>
    <t>Sum of Revenue</t>
  </si>
  <si>
    <t>Average of Stock Quantity</t>
  </si>
  <si>
    <t>Distinct Count of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</si>
</sst>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49" fontId="1" fillId="0" borderId="0" xfId="0" applyNumberFormat="1" applyFont="1"/>
    <xf numFmtId="49" fontId="0" fillId="0" borderId="0" xfId="0" applyNumberFormat="1"/>
    <xf numFmtId="0" fontId="1" fillId="0" borderId="0" xfId="0" applyFont="1" applyAlignment="1">
      <alignment wrapText="1"/>
    </xf>
    <xf numFmtId="0" fontId="1" fillId="0" borderId="0" xfId="0" applyFont="1" applyAlignment="1">
      <alignment vertical="center"/>
    </xf>
    <xf numFmtId="0" fontId="0" fillId="0" borderId="0" xfId="0" applyAlignment="1">
      <alignment wrapText="1"/>
    </xf>
    <xf numFmtId="0" fontId="0" fillId="0" borderId="0" xfId="0" applyAlignment="1">
      <alignment horizontal="right" wrapText="1"/>
    </xf>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7">
    <dxf>
      <numFmt numFmtId="164" formatCode="&quot;$&quot;#,##0.00"/>
    </dxf>
    <dxf>
      <numFmt numFmtId="0" formatCode="General"/>
    </dxf>
    <dxf>
      <numFmt numFmtId="164" formatCode="&quot;$&quot;#,##0.00"/>
    </dxf>
    <dxf>
      <numFmt numFmtId="0" formatCode="General"/>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Book!PivotTable5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 10 Books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2.6666666666666666E-3"/>
              <c:y val="9.345794392523343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1.8869211745643707E-3"/>
              <c:y val="4.6728971962616819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986431298975709"/>
          <c:y val="0.14072485098241225"/>
          <c:w val="0.62988297942901539"/>
          <c:h val="0.64862683052468906"/>
        </c:manualLayout>
      </c:layout>
      <c:barChart>
        <c:barDir val="bar"/>
        <c:grouping val="clustered"/>
        <c:varyColors val="0"/>
        <c:ser>
          <c:idx val="0"/>
          <c:order val="0"/>
          <c:tx>
            <c:strRef>
              <c:f>'Revenue By Book'!$B$1</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A16B-4920-93AB-368C7E55FD9F}"/>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A16B-4920-93AB-368C7E55FD9F}"/>
              </c:ext>
            </c:extLst>
          </c:dPt>
          <c:dLbls>
            <c:dLbl>
              <c:idx val="1"/>
              <c:layout>
                <c:manualLayout>
                  <c:x val="-2.6666666666666666E-3"/>
                  <c:y val="9.345794392523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6B-4920-93AB-368C7E55FD9F}"/>
                </c:ext>
              </c:extLst>
            </c:dLbl>
            <c:dLbl>
              <c:idx val="9"/>
              <c:layout>
                <c:manualLayout>
                  <c:x val="-1.8869211745643707E-3"/>
                  <c:y val="4.67289719626168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6B-4920-93AB-368C7E55FD9F}"/>
                </c:ext>
              </c:extLst>
            </c:dLbl>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Book'!$A$2:$A$12</c:f>
              <c:strCache>
                <c:ptCount val="10"/>
                <c:pt idx="0">
                  <c:v>Atomic Habits</c:v>
                </c:pt>
                <c:pt idx="1">
                  <c:v>Sapiens: A Brief History of Humankind</c:v>
                </c:pt>
                <c:pt idx="2">
                  <c:v>The Psychology of Money</c:v>
                </c:pt>
                <c:pt idx="3">
                  <c:v>Educated</c:v>
                </c:pt>
                <c:pt idx="4">
                  <c:v>The Martian</c:v>
                </c:pt>
                <c:pt idx="5">
                  <c:v>The Power of Now</c:v>
                </c:pt>
                <c:pt idx="6">
                  <c:v>Where the Crawdads Sing</c:v>
                </c:pt>
                <c:pt idx="7">
                  <c:v>The Nightingale</c:v>
                </c:pt>
                <c:pt idx="8">
                  <c:v>The Hitchhiker's Guide to the Galaxy</c:v>
                </c:pt>
                <c:pt idx="9">
                  <c:v>The Immortal Life of Henrietta Lacks</c:v>
                </c:pt>
              </c:strCache>
            </c:strRef>
          </c:cat>
          <c:val>
            <c:numRef>
              <c:f>'Revenue By Book'!$B$2:$B$12</c:f>
              <c:numCache>
                <c:formatCode>"$"#,##0.00</c:formatCode>
                <c:ptCount val="10"/>
                <c:pt idx="0">
                  <c:v>620</c:v>
                </c:pt>
                <c:pt idx="1">
                  <c:v>562.5</c:v>
                </c:pt>
                <c:pt idx="2">
                  <c:v>507.5</c:v>
                </c:pt>
                <c:pt idx="3">
                  <c:v>476</c:v>
                </c:pt>
                <c:pt idx="4">
                  <c:v>442.5</c:v>
                </c:pt>
                <c:pt idx="5">
                  <c:v>364</c:v>
                </c:pt>
                <c:pt idx="6">
                  <c:v>350</c:v>
                </c:pt>
                <c:pt idx="7">
                  <c:v>337.5</c:v>
                </c:pt>
                <c:pt idx="8">
                  <c:v>324.75</c:v>
                </c:pt>
                <c:pt idx="9">
                  <c:v>316</c:v>
                </c:pt>
              </c:numCache>
            </c:numRef>
          </c:val>
          <c:extLst>
            <c:ext xmlns:c16="http://schemas.microsoft.com/office/drawing/2014/chart" uri="{C3380CC4-5D6E-409C-BE32-E72D297353CC}">
              <c16:uniqueId val="{00000000-A16B-4920-93AB-368C7E55FD9F}"/>
            </c:ext>
          </c:extLst>
        </c:ser>
        <c:dLbls>
          <c:showLegendKey val="0"/>
          <c:showVal val="0"/>
          <c:showCatName val="0"/>
          <c:showSerName val="0"/>
          <c:showPercent val="0"/>
          <c:showBubbleSize val="0"/>
        </c:dLbls>
        <c:gapWidth val="219"/>
        <c:axId val="782145743"/>
        <c:axId val="782148623"/>
      </c:barChart>
      <c:catAx>
        <c:axId val="782145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Books</a:t>
                </a:r>
              </a:p>
            </c:rich>
          </c:tx>
          <c:layout>
            <c:manualLayout>
              <c:xMode val="edge"/>
              <c:yMode val="edge"/>
              <c:x val="4.8134777376654635E-3"/>
              <c:y val="0.356860696151298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148623"/>
        <c:crosses val="autoZero"/>
        <c:auto val="1"/>
        <c:lblAlgn val="ctr"/>
        <c:lblOffset val="100"/>
        <c:noMultiLvlLbl val="0"/>
      </c:catAx>
      <c:valAx>
        <c:axId val="782148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49883528999308302"/>
              <c:y val="0.888035175509603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14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Genre!PivotTable6</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t>Revenue By Genre</a:t>
            </a:r>
          </a:p>
        </c:rich>
      </c:tx>
      <c:layout>
        <c:manualLayout>
          <c:xMode val="edge"/>
          <c:yMode val="edge"/>
          <c:x val="0.3263046082452975"/>
          <c:y val="2.355100560128067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layout>
            <c:manualLayout>
              <c:x val="-9.39706911636045E-2"/>
              <c:y val="0.10598607465733451"/>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pivotFmt>
      <c:pivotFmt>
        <c:idx val="3"/>
        <c:spPr>
          <a:solidFill>
            <a:schemeClr val="tx1">
              <a:lumMod val="50000"/>
              <a:lumOff val="50000"/>
            </a:schemeClr>
          </a:solidFill>
          <a:ln w="19050">
            <a:solidFill>
              <a:schemeClr val="lt1"/>
            </a:solidFill>
          </a:ln>
          <a:effectLst/>
        </c:spPr>
      </c:pivotFmt>
      <c:pivotFmt>
        <c:idx val="4"/>
        <c:spPr>
          <a:solidFill>
            <a:schemeClr val="accent3">
              <a:lumMod val="40000"/>
              <a:lumOff val="60000"/>
            </a:schemeClr>
          </a:solidFill>
          <a:ln w="19050">
            <a:solidFill>
              <a:schemeClr val="lt1"/>
            </a:solidFill>
          </a:ln>
          <a:effectLst/>
        </c:spPr>
      </c:pivotFmt>
      <c:pivotFmt>
        <c:idx val="5"/>
        <c:spPr>
          <a:solidFill>
            <a:schemeClr val="accent4">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bg2">
              <a:lumMod val="75000"/>
            </a:schemeClr>
          </a:solidFill>
          <a:ln w="19050">
            <a:solidFill>
              <a:schemeClr val="lt1"/>
            </a:solidFill>
          </a:ln>
          <a:effectLst/>
        </c:spPr>
        <c:dLbl>
          <c:idx val="0"/>
          <c:layout>
            <c:manualLayout>
              <c:x val="5.6907007503182984E-2"/>
              <c:y val="6.0847185768445569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lumMod val="20000"/>
              <a:lumOff val="80000"/>
            </a:schemeClr>
          </a:solidFill>
          <a:ln w="19050">
            <a:solidFill>
              <a:schemeClr val="lt1"/>
            </a:solidFill>
          </a:ln>
          <a:effectLst/>
        </c:spPr>
        <c:dLbl>
          <c:idx val="0"/>
          <c:layout>
            <c:manualLayout>
              <c:x val="4.0013597201448661E-2"/>
              <c:y val="7.470836978710994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95000"/>
            </a:schemeClr>
          </a:solidFill>
          <a:ln w="19050">
            <a:solidFill>
              <a:schemeClr val="lt1"/>
            </a:solidFill>
          </a:ln>
          <a:effectLst/>
        </c:spPr>
        <c:dLbl>
          <c:idx val="0"/>
          <c:layout>
            <c:manualLayout>
              <c:x val="5.426596675415573E-2"/>
              <c:y val="9.453995333916594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lumMod val="60000"/>
              <a:lumOff val="40000"/>
            </a:schemeClr>
          </a:solidFill>
          <a:ln w="19050">
            <a:solidFill>
              <a:schemeClr val="lt1"/>
            </a:solidFill>
          </a:ln>
          <a:effectLst/>
        </c:spPr>
        <c:dLbl>
          <c:idx val="0"/>
          <c:layout>
            <c:manualLayout>
              <c:x val="2.1997931847982165E-3"/>
              <c:y val="-2.1133768433804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2">
              <a:lumMod val="25000"/>
              <a:lumOff val="75000"/>
            </a:schemeClr>
          </a:solidFill>
          <a:ln w="19050">
            <a:solidFill>
              <a:schemeClr val="lt1"/>
            </a:solidFill>
          </a:ln>
          <a:effectLst/>
        </c:spPr>
      </c:pivotFmt>
      <c:pivotFmt>
        <c:idx val="14"/>
        <c:spPr>
          <a:solidFill>
            <a:schemeClr val="bg1">
              <a:lumMod val="75000"/>
            </a:schemeClr>
          </a:solidFill>
          <a:ln w="19050">
            <a:solidFill>
              <a:schemeClr val="lt1"/>
            </a:solidFill>
          </a:ln>
          <a:effectLst/>
        </c:spPr>
        <c:dLbl>
          <c:idx val="0"/>
          <c:layout>
            <c:manualLayout>
              <c:x val="0"/>
              <c:y val="-4.22675368676094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lumMod val="20000"/>
              <a:lumOff val="80000"/>
            </a:schemeClr>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chemeClr val="accent4">
              <a:lumMod val="60000"/>
              <a:lumOff val="40000"/>
            </a:schemeClr>
          </a:solidFill>
          <a:ln w="19050">
            <a:solidFill>
              <a:schemeClr val="lt1"/>
            </a:solidFill>
          </a:ln>
          <a:effectLst/>
        </c:spPr>
      </c:pivotFmt>
      <c:pivotFmt>
        <c:idx val="18"/>
        <c:spPr>
          <a:solidFill>
            <a:schemeClr val="tx1">
              <a:lumMod val="65000"/>
              <a:lumOff val="35000"/>
            </a:schemeClr>
          </a:solidFill>
          <a:ln w="19050">
            <a:solidFill>
              <a:schemeClr val="lt1"/>
            </a:solidFill>
          </a:ln>
          <a:effectLst/>
        </c:spPr>
      </c:pivotFmt>
      <c:pivotFmt>
        <c:idx val="19"/>
        <c:spPr>
          <a:solidFill>
            <a:schemeClr val="accent2">
              <a:lumMod val="20000"/>
              <a:lumOff val="80000"/>
            </a:schemeClr>
          </a:solidFill>
          <a:ln w="19050">
            <a:solidFill>
              <a:schemeClr val="lt1"/>
            </a:solidFill>
          </a:ln>
          <a:effectLst/>
        </c:spPr>
      </c:pivotFmt>
      <c:pivotFmt>
        <c:idx val="20"/>
        <c:spPr>
          <a:solidFill>
            <a:schemeClr val="accent3">
              <a:lumMod val="20000"/>
              <a:lumOff val="80000"/>
            </a:schemeClr>
          </a:solidFill>
          <a:ln w="19050">
            <a:solidFill>
              <a:schemeClr val="lt1"/>
            </a:solidFill>
          </a:ln>
          <a:effectLst/>
        </c:spPr>
      </c:pivotFmt>
      <c:pivotFmt>
        <c:idx val="21"/>
        <c:spPr>
          <a:solidFill>
            <a:schemeClr val="tx2">
              <a:lumMod val="10000"/>
              <a:lumOff val="90000"/>
            </a:schemeClr>
          </a:solidFill>
          <a:ln w="19050">
            <a:solidFill>
              <a:schemeClr val="lt1"/>
            </a:solidFill>
          </a:ln>
          <a:effectLst/>
        </c:spPr>
      </c:pivotFmt>
      <c:pivotFmt>
        <c:idx val="22"/>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16544476940382452"/>
          <c:y val="0.14155930601363878"/>
          <c:w val="0.55070506186726664"/>
          <c:h val="0.8146931276978836"/>
        </c:manualLayout>
      </c:layout>
      <c:doughnutChart>
        <c:varyColors val="1"/>
        <c:ser>
          <c:idx val="0"/>
          <c:order val="0"/>
          <c:tx>
            <c:strRef>
              <c:f>'Revenue by Genre'!$B$1</c:f>
              <c:strCache>
                <c:ptCount val="1"/>
                <c:pt idx="0">
                  <c:v>Total</c:v>
                </c:pt>
              </c:strCache>
            </c:strRef>
          </c:tx>
          <c:spPr>
            <a:solidFill>
              <a:schemeClr val="accent5">
                <a:lumMod val="60000"/>
                <a:lumOff val="40000"/>
              </a:schemeClr>
            </a:solidFill>
          </c:spPr>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F-90D5-493D-8509-D88555798383}"/>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CE4D-437D-A1D9-306ED988AD90}"/>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11B4-40C2-92C8-3251B887B220}"/>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4-11B4-40C2-92C8-3251B887B220}"/>
              </c:ext>
            </c:extLst>
          </c:dPt>
          <c:dPt>
            <c:idx val="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11B4-40C2-92C8-3251B887B220}"/>
              </c:ext>
            </c:extLst>
          </c:dPt>
          <c:dPt>
            <c:idx val="5"/>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6-11B4-40C2-92C8-3251B887B220}"/>
              </c:ext>
            </c:extLst>
          </c:dPt>
          <c:dPt>
            <c:idx val="6"/>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7-11B4-40C2-92C8-3251B887B220}"/>
              </c:ext>
            </c:extLst>
          </c:dPt>
          <c:dPt>
            <c:idx val="7"/>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8-11B4-40C2-92C8-3251B887B220}"/>
              </c:ext>
            </c:extLst>
          </c:dPt>
          <c:dPt>
            <c:idx val="8"/>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9-11B4-40C2-92C8-3251B887B220}"/>
              </c:ext>
            </c:extLst>
          </c:dPt>
          <c:dPt>
            <c:idx val="9"/>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1B4-40C2-92C8-3251B887B220}"/>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E-90D5-493D-8509-D88555798383}"/>
              </c:ext>
            </c:extLst>
          </c:dPt>
          <c:dLbls>
            <c:dLbl>
              <c:idx val="9"/>
              <c:layout>
                <c:manualLayout>
                  <c:x val="0"/>
                  <c:y val="-4.226753686760942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1B4-40C2-92C8-3251B887B220}"/>
                </c:ext>
              </c:extLst>
            </c:dLbl>
            <c:dLbl>
              <c:idx val="10"/>
              <c:layout>
                <c:manualLayout>
                  <c:x val="2.1997931847982165E-3"/>
                  <c:y val="-2.11337684338047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90D5-493D-8509-D885557983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Genre'!$A$2:$A$13</c:f>
              <c:strCache>
                <c:ptCount val="11"/>
                <c:pt idx="0">
                  <c:v>Fiction</c:v>
                </c:pt>
                <c:pt idx="1">
                  <c:v>Self-Help</c:v>
                </c:pt>
                <c:pt idx="2">
                  <c:v>Sci-Fi</c:v>
                </c:pt>
                <c:pt idx="3">
                  <c:v>Non-Fiction</c:v>
                </c:pt>
                <c:pt idx="4">
                  <c:v>Mystery</c:v>
                </c:pt>
                <c:pt idx="5">
                  <c:v>Historical Fiction</c:v>
                </c:pt>
                <c:pt idx="6">
                  <c:v>Finance</c:v>
                </c:pt>
                <c:pt idx="7">
                  <c:v>Biography</c:v>
                </c:pt>
                <c:pt idx="8">
                  <c:v>Fantasy</c:v>
                </c:pt>
                <c:pt idx="9">
                  <c:v>Psychology</c:v>
                </c:pt>
                <c:pt idx="10">
                  <c:v>Business</c:v>
                </c:pt>
              </c:strCache>
            </c:strRef>
          </c:cat>
          <c:val>
            <c:numRef>
              <c:f>'Revenue by Genre'!$B$2:$B$13</c:f>
              <c:numCache>
                <c:formatCode>"$"#,##0.00</c:formatCode>
                <c:ptCount val="11"/>
                <c:pt idx="0">
                  <c:v>1441.3</c:v>
                </c:pt>
                <c:pt idx="1">
                  <c:v>984</c:v>
                </c:pt>
                <c:pt idx="2">
                  <c:v>962.25</c:v>
                </c:pt>
                <c:pt idx="3">
                  <c:v>878.5</c:v>
                </c:pt>
                <c:pt idx="4">
                  <c:v>876.81999999999994</c:v>
                </c:pt>
                <c:pt idx="5">
                  <c:v>513.5</c:v>
                </c:pt>
                <c:pt idx="6">
                  <c:v>507.5</c:v>
                </c:pt>
                <c:pt idx="7">
                  <c:v>476</c:v>
                </c:pt>
                <c:pt idx="8">
                  <c:v>372.5</c:v>
                </c:pt>
                <c:pt idx="9">
                  <c:v>279.3</c:v>
                </c:pt>
                <c:pt idx="10">
                  <c:v>247.5</c:v>
                </c:pt>
              </c:numCache>
            </c:numRef>
          </c:val>
          <c:extLst>
            <c:ext xmlns:c16="http://schemas.microsoft.com/office/drawing/2014/chart" uri="{C3380CC4-5D6E-409C-BE32-E72D297353CC}">
              <c16:uniqueId val="{0000000D-90D5-493D-8509-D88555798383}"/>
            </c:ext>
          </c:extLst>
        </c:ser>
        <c:dLbls>
          <c:showLegendKey val="0"/>
          <c:showVal val="0"/>
          <c:showCatName val="0"/>
          <c:showSerName val="0"/>
          <c:showPercent val="0"/>
          <c:showBubbleSize val="0"/>
          <c:showLeaderLines val="1"/>
        </c:dLbls>
        <c:firstSliceAng val="0"/>
        <c:holeSize val="50"/>
      </c:doughnutChart>
      <c:spPr>
        <a:solidFill>
          <a:schemeClr val="bg1"/>
        </a:solidFill>
        <a:ln>
          <a:solidFill>
            <a:schemeClr val="bg1"/>
          </a:solidFill>
        </a:ln>
        <a:effectLst/>
      </c:spPr>
    </c:plotArea>
    <c:legend>
      <c:legendPos val="r"/>
      <c:layout>
        <c:manualLayout>
          <c:xMode val="edge"/>
          <c:yMode val="edge"/>
          <c:x val="0.76367964004499445"/>
          <c:y val="0.1492293662864807"/>
          <c:w val="0.21917750281214848"/>
          <c:h val="0.818410674050727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Author!PivotTable5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by Author</a:t>
            </a:r>
            <a:endParaRPr lang="en-US" sz="1200" b="1"/>
          </a:p>
        </c:rich>
      </c:tx>
      <c:layout>
        <c:manualLayout>
          <c:xMode val="edge"/>
          <c:yMode val="edge"/>
          <c:x val="0.3701041119860017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714785651792"/>
          <c:y val="0.16041666666666668"/>
          <c:w val="0.79012729658792646"/>
          <c:h val="0.48708624963546221"/>
        </c:manualLayout>
      </c:layout>
      <c:barChart>
        <c:barDir val="col"/>
        <c:grouping val="clustered"/>
        <c:varyColors val="0"/>
        <c:ser>
          <c:idx val="0"/>
          <c:order val="0"/>
          <c:tx>
            <c:strRef>
              <c:f>'Revenue by Author'!$B$2</c:f>
              <c:strCache>
                <c:ptCount val="1"/>
                <c:pt idx="0">
                  <c:v>Total</c:v>
                </c:pt>
              </c:strCache>
            </c:strRef>
          </c:tx>
          <c:spPr>
            <a:solidFill>
              <a:schemeClr val="bg2">
                <a:lumMod val="90000"/>
              </a:schemeClr>
            </a:solidFill>
            <a:ln>
              <a:noFill/>
            </a:ln>
            <a:effectLst/>
          </c:spPr>
          <c:invertIfNegative val="0"/>
          <c:dPt>
            <c:idx val="0"/>
            <c:invertIfNegative val="0"/>
            <c:bubble3D val="0"/>
            <c:extLst>
              <c:ext xmlns:c16="http://schemas.microsoft.com/office/drawing/2014/chart" uri="{C3380CC4-5D6E-409C-BE32-E72D297353CC}">
                <c16:uniqueId val="{00000002-6423-4393-AEDD-943CE86349C0}"/>
              </c:ext>
            </c:extLst>
          </c:dPt>
          <c:dPt>
            <c:idx val="9"/>
            <c:invertIfNegative val="0"/>
            <c:bubble3D val="0"/>
            <c:extLst>
              <c:ext xmlns:c16="http://schemas.microsoft.com/office/drawing/2014/chart" uri="{C3380CC4-5D6E-409C-BE32-E72D297353CC}">
                <c16:uniqueId val="{00000003-6423-4393-AEDD-943CE86349C0}"/>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23-4393-AEDD-943CE86349C0}"/>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23-4393-AEDD-943CE86349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Author'!$A$3:$A$13</c:f>
              <c:strCache>
                <c:ptCount val="10"/>
                <c:pt idx="0">
                  <c:v>James Clear</c:v>
                </c:pt>
                <c:pt idx="1">
                  <c:v>Yuval Noah Harari</c:v>
                </c:pt>
                <c:pt idx="2">
                  <c:v>Morgan Housel</c:v>
                </c:pt>
                <c:pt idx="3">
                  <c:v>Tara Westover</c:v>
                </c:pt>
                <c:pt idx="4">
                  <c:v>Andy Weir</c:v>
                </c:pt>
                <c:pt idx="5">
                  <c:v>Eckhart Tolle</c:v>
                </c:pt>
                <c:pt idx="6">
                  <c:v>Delia Owens</c:v>
                </c:pt>
                <c:pt idx="7">
                  <c:v>Kristin Hannah</c:v>
                </c:pt>
                <c:pt idx="8">
                  <c:v>Douglas Adams</c:v>
                </c:pt>
                <c:pt idx="9">
                  <c:v>Rebecca Skloot</c:v>
                </c:pt>
              </c:strCache>
            </c:strRef>
          </c:cat>
          <c:val>
            <c:numRef>
              <c:f>'Revenue by Author'!$B$3:$B$13</c:f>
              <c:numCache>
                <c:formatCode>"$"#,##0.00</c:formatCode>
                <c:ptCount val="10"/>
                <c:pt idx="0">
                  <c:v>620</c:v>
                </c:pt>
                <c:pt idx="1">
                  <c:v>562.5</c:v>
                </c:pt>
                <c:pt idx="2">
                  <c:v>507.5</c:v>
                </c:pt>
                <c:pt idx="3">
                  <c:v>476</c:v>
                </c:pt>
                <c:pt idx="4">
                  <c:v>442.5</c:v>
                </c:pt>
                <c:pt idx="5">
                  <c:v>364</c:v>
                </c:pt>
                <c:pt idx="6">
                  <c:v>350</c:v>
                </c:pt>
                <c:pt idx="7">
                  <c:v>337.5</c:v>
                </c:pt>
                <c:pt idx="8">
                  <c:v>324.75</c:v>
                </c:pt>
                <c:pt idx="9">
                  <c:v>316</c:v>
                </c:pt>
              </c:numCache>
            </c:numRef>
          </c:val>
          <c:extLst>
            <c:ext xmlns:c16="http://schemas.microsoft.com/office/drawing/2014/chart" uri="{C3380CC4-5D6E-409C-BE32-E72D297353CC}">
              <c16:uniqueId val="{00000000-6423-4393-AEDD-943CE86349C0}"/>
            </c:ext>
          </c:extLst>
        </c:ser>
        <c:dLbls>
          <c:showLegendKey val="0"/>
          <c:showVal val="0"/>
          <c:showCatName val="0"/>
          <c:showSerName val="0"/>
          <c:showPercent val="0"/>
          <c:showBubbleSize val="0"/>
        </c:dLbls>
        <c:gapWidth val="219"/>
        <c:overlap val="-27"/>
        <c:axId val="711551023"/>
        <c:axId val="711550543"/>
      </c:barChart>
      <c:catAx>
        <c:axId val="71155102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b="1"/>
                  <a:t>Author</a:t>
                </a:r>
              </a:p>
            </c:rich>
          </c:tx>
          <c:layout>
            <c:manualLayout>
              <c:xMode val="edge"/>
              <c:yMode val="edge"/>
              <c:x val="0.43305424321959757"/>
              <c:y val="0.88793963254593178"/>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550543"/>
        <c:crosses val="autoZero"/>
        <c:auto val="1"/>
        <c:lblAlgn val="ctr"/>
        <c:lblOffset val="100"/>
        <c:noMultiLvlLbl val="0"/>
      </c:catAx>
      <c:valAx>
        <c:axId val="711550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1"/>
                  <a:t>Revenue</a:t>
                </a:r>
              </a:p>
            </c:rich>
          </c:tx>
          <c:layout>
            <c:manualLayout>
              <c:xMode val="edge"/>
              <c:yMode val="edge"/>
              <c:x val="1.1111111111111112E-2"/>
              <c:y val="0.30519685039370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5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dataset.xlsx]Sales trend overtime!PivotTable7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Trend</a:t>
            </a:r>
            <a:r>
              <a:rPr lang="en-US" b="1"/>
              <a:t> Overtime by Publication Year</a:t>
            </a:r>
          </a:p>
        </c:rich>
      </c:tx>
      <c:layout>
        <c:manualLayout>
          <c:xMode val="edge"/>
          <c:yMode val="edge"/>
          <c:x val="0.21481174986621818"/>
          <c:y val="3.529411764705882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none"/>
        </c:marker>
        <c:dLbl>
          <c:idx val="0"/>
          <c:layout>
            <c:manualLayout>
              <c:x val="0"/>
              <c:y val="-8.823529411764707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4816C7B-6824-47DE-8794-A4BB7C48C4EE}" type="VALUE">
                  <a:rPr lang="en-US" b="1"/>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447595847695"/>
          <c:y val="0.20212534059945503"/>
          <c:w val="0.78711390537030101"/>
          <c:h val="0.50357784977150333"/>
        </c:manualLayout>
      </c:layout>
      <c:lineChart>
        <c:grouping val="standard"/>
        <c:varyColors val="0"/>
        <c:ser>
          <c:idx val="0"/>
          <c:order val="0"/>
          <c:tx>
            <c:strRef>
              <c:f>'Sales trend overtime'!$B$1</c:f>
              <c:strCache>
                <c:ptCount val="1"/>
                <c:pt idx="0">
                  <c:v>Total</c:v>
                </c:pt>
              </c:strCache>
            </c:strRef>
          </c:tx>
          <c:spPr>
            <a:ln w="28575" cap="rnd">
              <a:solidFill>
                <a:schemeClr val="accent5">
                  <a:lumMod val="60000"/>
                  <a:lumOff val="40000"/>
                </a:schemeClr>
              </a:solidFill>
              <a:round/>
            </a:ln>
            <a:effectLst/>
          </c:spPr>
          <c:marker>
            <c:symbol val="none"/>
          </c:marker>
          <c:dPt>
            <c:idx val="17"/>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4-A2B8-420D-9AEF-F2EBE2D4234D}"/>
              </c:ext>
            </c:extLst>
          </c:dPt>
          <c:dPt>
            <c:idx val="18"/>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3-A2B8-420D-9AEF-F2EBE2D4234D}"/>
              </c:ext>
            </c:extLst>
          </c:dPt>
          <c:dLbls>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B8-420D-9AEF-F2EBE2D4234D}"/>
                </c:ext>
              </c:extLst>
            </c:dLbl>
            <c:dLbl>
              <c:idx val="18"/>
              <c:layout>
                <c:manualLayout>
                  <c:x val="0"/>
                  <c:y val="-8.8235294117647078E-2"/>
                </c:manualLayout>
              </c:layout>
              <c:tx>
                <c:rich>
                  <a:bodyPr/>
                  <a:lstStyle/>
                  <a:p>
                    <a:fld id="{14816C7B-6824-47DE-8794-A4BB7C48C4EE}"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2B8-420D-9AEF-F2EBE2D423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overtime'!$A$2:$A$21</c:f>
              <c:strCache>
                <c:ptCount val="19"/>
                <c:pt idx="0">
                  <c:v>1949</c:v>
                </c:pt>
                <c:pt idx="1">
                  <c:v>1813</c:v>
                </c:pt>
                <c:pt idx="2">
                  <c:v>2007</c:v>
                </c:pt>
                <c:pt idx="3">
                  <c:v>2003</c:v>
                </c:pt>
                <c:pt idx="4">
                  <c:v>2006</c:v>
                </c:pt>
                <c:pt idx="5">
                  <c:v>1965</c:v>
                </c:pt>
                <c:pt idx="6">
                  <c:v>1954</c:v>
                </c:pt>
                <c:pt idx="7">
                  <c:v>2019</c:v>
                </c:pt>
                <c:pt idx="8">
                  <c:v>1951</c:v>
                </c:pt>
                <c:pt idx="9">
                  <c:v>1988</c:v>
                </c:pt>
                <c:pt idx="10">
                  <c:v>2010</c:v>
                </c:pt>
                <c:pt idx="11">
                  <c:v>1979</c:v>
                </c:pt>
                <c:pt idx="12">
                  <c:v>2015</c:v>
                </c:pt>
                <c:pt idx="13">
                  <c:v>1997</c:v>
                </c:pt>
                <c:pt idx="14">
                  <c:v>2005</c:v>
                </c:pt>
                <c:pt idx="15">
                  <c:v>2014</c:v>
                </c:pt>
                <c:pt idx="16">
                  <c:v>2020</c:v>
                </c:pt>
                <c:pt idx="17">
                  <c:v>2011</c:v>
                </c:pt>
                <c:pt idx="18">
                  <c:v>2018</c:v>
                </c:pt>
              </c:strCache>
            </c:strRef>
          </c:cat>
          <c:val>
            <c:numRef>
              <c:f>'Sales trend overtime'!$B$2:$B$21</c:f>
              <c:numCache>
                <c:formatCode>"$"#,##0.00</c:formatCode>
                <c:ptCount val="19"/>
                <c:pt idx="0">
                  <c:v>102</c:v>
                </c:pt>
                <c:pt idx="1">
                  <c:v>142.5</c:v>
                </c:pt>
                <c:pt idx="2">
                  <c:v>172.5</c:v>
                </c:pt>
                <c:pt idx="3">
                  <c:v>189</c:v>
                </c:pt>
                <c:pt idx="4">
                  <c:v>193.5</c:v>
                </c:pt>
                <c:pt idx="5">
                  <c:v>195</c:v>
                </c:pt>
                <c:pt idx="6">
                  <c:v>200</c:v>
                </c:pt>
                <c:pt idx="7">
                  <c:v>251.82</c:v>
                </c:pt>
                <c:pt idx="8">
                  <c:v>259.60000000000002</c:v>
                </c:pt>
                <c:pt idx="9">
                  <c:v>299.7</c:v>
                </c:pt>
                <c:pt idx="10">
                  <c:v>316</c:v>
                </c:pt>
                <c:pt idx="11">
                  <c:v>324.75</c:v>
                </c:pt>
                <c:pt idx="12">
                  <c:v>337.5</c:v>
                </c:pt>
                <c:pt idx="13">
                  <c:v>364</c:v>
                </c:pt>
                <c:pt idx="14">
                  <c:v>451</c:v>
                </c:pt>
                <c:pt idx="15">
                  <c:v>562.5</c:v>
                </c:pt>
                <c:pt idx="16">
                  <c:v>762.5</c:v>
                </c:pt>
                <c:pt idx="17">
                  <c:v>969.3</c:v>
                </c:pt>
                <c:pt idx="18">
                  <c:v>1446</c:v>
                </c:pt>
              </c:numCache>
            </c:numRef>
          </c:val>
          <c:smooth val="0"/>
          <c:extLst>
            <c:ext xmlns:c16="http://schemas.microsoft.com/office/drawing/2014/chart" uri="{C3380CC4-5D6E-409C-BE32-E72D297353CC}">
              <c16:uniqueId val="{00000002-A2B8-420D-9AEF-F2EBE2D4234D}"/>
            </c:ext>
          </c:extLst>
        </c:ser>
        <c:dLbls>
          <c:showLegendKey val="0"/>
          <c:showVal val="0"/>
          <c:showCatName val="0"/>
          <c:showSerName val="0"/>
          <c:showPercent val="0"/>
          <c:showBubbleSize val="0"/>
        </c:dLbls>
        <c:smooth val="0"/>
        <c:axId val="776823840"/>
        <c:axId val="776824800"/>
      </c:lineChart>
      <c:catAx>
        <c:axId val="77682384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Year</a:t>
                </a:r>
              </a:p>
            </c:rich>
          </c:tx>
          <c:layout>
            <c:manualLayout>
              <c:xMode val="edge"/>
              <c:yMode val="edge"/>
              <c:x val="0.50518863236755596"/>
              <c:y val="0.878991662806855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6824800"/>
        <c:crosses val="autoZero"/>
        <c:auto val="1"/>
        <c:lblAlgn val="ctr"/>
        <c:lblOffset val="100"/>
        <c:noMultiLvlLbl val="0"/>
      </c:catAx>
      <c:valAx>
        <c:axId val="77682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1.554449201131412E-2"/>
              <c:y val="0.274358962482630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682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Book!PivotTable5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t>Top 10 Books by Revenue</a:t>
            </a:r>
          </a:p>
        </c:rich>
      </c:tx>
      <c:layout>
        <c:manualLayout>
          <c:xMode val="edge"/>
          <c:yMode val="edge"/>
          <c:x val="0.3232168421152154"/>
          <c:y val="1.9629846021633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layout>
            <c:manualLayout>
              <c:x val="-2.6666666666666666E-3"/>
              <c:y val="9.345794392523343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dLbl>
          <c:idx val="0"/>
          <c:layout>
            <c:manualLayout>
              <c:x val="-1.8869211745643707E-3"/>
              <c:y val="4.6728971962616819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layout>
            <c:manualLayout>
              <c:x val="-2.6666666666666666E-3"/>
              <c:y val="9.345794392523343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dLbl>
          <c:idx val="0"/>
          <c:layout>
            <c:manualLayout>
              <c:x val="-1.8869211745643707E-3"/>
              <c:y val="4.6728971962616819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c:spPr>
        <c:marker>
          <c:symbol val="none"/>
        </c:marker>
        <c:dLbl>
          <c:idx val="0"/>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dLbl>
          <c:idx val="0"/>
          <c:layout>
            <c:manualLayout>
              <c:x val="-2.6666666666666666E-3"/>
              <c:y val="9.345794392523343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dLbl>
          <c:idx val="0"/>
          <c:layout>
            <c:manualLayout>
              <c:x val="-1.8869211745643707E-3"/>
              <c:y val="4.6728971962616819E-3"/>
            </c:manualLayout>
          </c:layout>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3956151410981"/>
          <c:y val="0.14072485098241225"/>
          <c:w val="0.56397607537087757"/>
          <c:h val="0.64862683052468906"/>
        </c:manualLayout>
      </c:layout>
      <c:barChart>
        <c:barDir val="bar"/>
        <c:grouping val="clustered"/>
        <c:varyColors val="0"/>
        <c:ser>
          <c:idx val="0"/>
          <c:order val="0"/>
          <c:tx>
            <c:strRef>
              <c:f>'Revenue By Book'!$B$1</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BB63-412D-BED7-167704F2F816}"/>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BB63-412D-BED7-167704F2F816}"/>
              </c:ext>
            </c:extLst>
          </c:dPt>
          <c:dLbls>
            <c:dLbl>
              <c:idx val="1"/>
              <c:layout>
                <c:manualLayout>
                  <c:x val="-2.6666666666666666E-3"/>
                  <c:y val="9.345794392523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63-412D-BED7-167704F2F816}"/>
                </c:ext>
              </c:extLst>
            </c:dLbl>
            <c:dLbl>
              <c:idx val="9"/>
              <c:layout>
                <c:manualLayout>
                  <c:x val="-1.8869211745643707E-3"/>
                  <c:y val="4.67289719626168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63-412D-BED7-167704F2F816}"/>
                </c:ext>
              </c:extLst>
            </c:dLbl>
            <c:numFmt formatCode="&quot;$&quot;#,##0.0" sourceLinked="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Book'!$A$2:$A$12</c:f>
              <c:strCache>
                <c:ptCount val="10"/>
                <c:pt idx="0">
                  <c:v>Atomic Habits</c:v>
                </c:pt>
                <c:pt idx="1">
                  <c:v>Sapiens: A Brief History of Humankind</c:v>
                </c:pt>
                <c:pt idx="2">
                  <c:v>The Psychology of Money</c:v>
                </c:pt>
                <c:pt idx="3">
                  <c:v>Educated</c:v>
                </c:pt>
                <c:pt idx="4">
                  <c:v>The Martian</c:v>
                </c:pt>
                <c:pt idx="5">
                  <c:v>The Power of Now</c:v>
                </c:pt>
                <c:pt idx="6">
                  <c:v>Where the Crawdads Sing</c:v>
                </c:pt>
                <c:pt idx="7">
                  <c:v>The Nightingale</c:v>
                </c:pt>
                <c:pt idx="8">
                  <c:v>The Hitchhiker's Guide to the Galaxy</c:v>
                </c:pt>
                <c:pt idx="9">
                  <c:v>The Immortal Life of Henrietta Lacks</c:v>
                </c:pt>
              </c:strCache>
            </c:strRef>
          </c:cat>
          <c:val>
            <c:numRef>
              <c:f>'Revenue By Book'!$B$2:$B$12</c:f>
              <c:numCache>
                <c:formatCode>"$"#,##0.00</c:formatCode>
                <c:ptCount val="10"/>
                <c:pt idx="0">
                  <c:v>620</c:v>
                </c:pt>
                <c:pt idx="1">
                  <c:v>562.5</c:v>
                </c:pt>
                <c:pt idx="2">
                  <c:v>507.5</c:v>
                </c:pt>
                <c:pt idx="3">
                  <c:v>476</c:v>
                </c:pt>
                <c:pt idx="4">
                  <c:v>442.5</c:v>
                </c:pt>
                <c:pt idx="5">
                  <c:v>364</c:v>
                </c:pt>
                <c:pt idx="6">
                  <c:v>350</c:v>
                </c:pt>
                <c:pt idx="7">
                  <c:v>337.5</c:v>
                </c:pt>
                <c:pt idx="8">
                  <c:v>324.75</c:v>
                </c:pt>
                <c:pt idx="9">
                  <c:v>316</c:v>
                </c:pt>
              </c:numCache>
            </c:numRef>
          </c:val>
          <c:extLst>
            <c:ext xmlns:c16="http://schemas.microsoft.com/office/drawing/2014/chart" uri="{C3380CC4-5D6E-409C-BE32-E72D297353CC}">
              <c16:uniqueId val="{00000002-BB63-412D-BED7-167704F2F816}"/>
            </c:ext>
          </c:extLst>
        </c:ser>
        <c:dLbls>
          <c:showLegendKey val="0"/>
          <c:showVal val="0"/>
          <c:showCatName val="0"/>
          <c:showSerName val="0"/>
          <c:showPercent val="0"/>
          <c:showBubbleSize val="0"/>
        </c:dLbls>
        <c:gapWidth val="219"/>
        <c:axId val="782145743"/>
        <c:axId val="782148623"/>
      </c:barChart>
      <c:catAx>
        <c:axId val="782145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Books</a:t>
                </a:r>
              </a:p>
            </c:rich>
          </c:tx>
          <c:layout>
            <c:manualLayout>
              <c:xMode val="edge"/>
              <c:yMode val="edge"/>
              <c:x val="4.8134777376654635E-3"/>
              <c:y val="0.3568606961512988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148623"/>
        <c:crosses val="autoZero"/>
        <c:auto val="1"/>
        <c:lblAlgn val="ctr"/>
        <c:lblOffset val="100"/>
        <c:noMultiLvlLbl val="0"/>
      </c:catAx>
      <c:valAx>
        <c:axId val="78214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0.49883528999308302"/>
              <c:y val="0.888035175509603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214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Genre!PivotTable6</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u="sng"/>
              <a:t>Revenue By Genre</a:t>
            </a:r>
          </a:p>
        </c:rich>
      </c:tx>
      <c:layout>
        <c:manualLayout>
          <c:xMode val="edge"/>
          <c:yMode val="edge"/>
          <c:x val="0.3263046082452975"/>
          <c:y val="2.355100560128067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layout>
            <c:manualLayout>
              <c:x val="-9.39706911636045E-2"/>
              <c:y val="0.10598607465733451"/>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pivotFmt>
      <c:pivotFmt>
        <c:idx val="3"/>
        <c:spPr>
          <a:solidFill>
            <a:schemeClr val="tx1">
              <a:lumMod val="50000"/>
              <a:lumOff val="50000"/>
            </a:schemeClr>
          </a:solidFill>
          <a:ln w="19050">
            <a:solidFill>
              <a:schemeClr val="lt1"/>
            </a:solidFill>
          </a:ln>
          <a:effectLst/>
        </c:spPr>
      </c:pivotFmt>
      <c:pivotFmt>
        <c:idx val="4"/>
        <c:spPr>
          <a:solidFill>
            <a:schemeClr val="accent3">
              <a:lumMod val="40000"/>
              <a:lumOff val="60000"/>
            </a:schemeClr>
          </a:solidFill>
          <a:ln w="19050">
            <a:solidFill>
              <a:schemeClr val="lt1"/>
            </a:solidFill>
          </a:ln>
          <a:effectLst/>
        </c:spPr>
      </c:pivotFmt>
      <c:pivotFmt>
        <c:idx val="5"/>
        <c:spPr>
          <a:solidFill>
            <a:schemeClr val="accent4">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chemeClr val="tx2">
              <a:lumMod val="50000"/>
              <a:lumOff val="50000"/>
            </a:schemeClr>
          </a:solidFill>
          <a:ln w="19050">
            <a:solidFill>
              <a:schemeClr val="lt1"/>
            </a:solidFill>
          </a:ln>
          <a:effectLst/>
        </c:spPr>
      </c:pivotFmt>
      <c:pivotFmt>
        <c:idx val="8"/>
        <c:spPr>
          <a:solidFill>
            <a:schemeClr val="bg2">
              <a:lumMod val="75000"/>
            </a:schemeClr>
          </a:solidFill>
          <a:ln w="19050">
            <a:solidFill>
              <a:schemeClr val="lt1"/>
            </a:solidFill>
          </a:ln>
          <a:effectLst/>
        </c:spPr>
        <c:dLbl>
          <c:idx val="0"/>
          <c:layout>
            <c:manualLayout>
              <c:x val="5.6907007503182984E-2"/>
              <c:y val="6.0847185768445569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lumMod val="20000"/>
              <a:lumOff val="80000"/>
            </a:schemeClr>
          </a:solidFill>
          <a:ln w="19050">
            <a:solidFill>
              <a:schemeClr val="lt1"/>
            </a:solidFill>
          </a:ln>
          <a:effectLst/>
        </c:spPr>
        <c:dLbl>
          <c:idx val="0"/>
          <c:layout>
            <c:manualLayout>
              <c:x val="4.0013597201448661E-2"/>
              <c:y val="7.470836978710994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95000"/>
            </a:schemeClr>
          </a:solidFill>
          <a:ln w="19050">
            <a:solidFill>
              <a:schemeClr val="lt1"/>
            </a:solidFill>
          </a:ln>
          <a:effectLst/>
        </c:spPr>
        <c:dLbl>
          <c:idx val="0"/>
          <c:layout>
            <c:manualLayout>
              <c:x val="5.426596675415573E-2"/>
              <c:y val="9.4539953339165941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lumMod val="60000"/>
              <a:lumOff val="40000"/>
            </a:schemeClr>
          </a:solidFill>
          <a:ln w="19050">
            <a:solidFill>
              <a:schemeClr val="lt1"/>
            </a:solidFill>
          </a:ln>
          <a:effectLst/>
        </c:spPr>
        <c:dLbl>
          <c:idx val="0"/>
          <c:layout>
            <c:manualLayout>
              <c:x val="2.1997931847982165E-3"/>
              <c:y val="-2.1133768433804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tx2">
              <a:lumMod val="25000"/>
              <a:lumOff val="75000"/>
            </a:schemeClr>
          </a:solidFill>
          <a:ln w="19050">
            <a:solidFill>
              <a:schemeClr val="lt1"/>
            </a:solidFill>
          </a:ln>
          <a:effectLst/>
        </c:spPr>
      </c:pivotFmt>
      <c:pivotFmt>
        <c:idx val="14"/>
        <c:spPr>
          <a:solidFill>
            <a:schemeClr val="bg1">
              <a:lumMod val="75000"/>
            </a:schemeClr>
          </a:solidFill>
          <a:ln w="19050">
            <a:solidFill>
              <a:schemeClr val="lt1"/>
            </a:solidFill>
          </a:ln>
          <a:effectLst/>
        </c:spPr>
        <c:dLbl>
          <c:idx val="0"/>
          <c:layout>
            <c:manualLayout>
              <c:x val="0"/>
              <c:y val="-4.22675368676094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lumMod val="20000"/>
              <a:lumOff val="80000"/>
            </a:schemeClr>
          </a:solidFill>
          <a:ln w="19050">
            <a:solidFill>
              <a:schemeClr val="lt1"/>
            </a:solidFill>
          </a:ln>
          <a:effectLst/>
        </c:spPr>
      </c:pivotFmt>
      <c:pivotFmt>
        <c:idx val="16"/>
        <c:spPr>
          <a:solidFill>
            <a:schemeClr val="bg1">
              <a:lumMod val="95000"/>
            </a:schemeClr>
          </a:solidFill>
          <a:ln w="19050">
            <a:solidFill>
              <a:schemeClr val="lt1"/>
            </a:solidFill>
          </a:ln>
          <a:effectLst/>
        </c:spPr>
      </c:pivotFmt>
      <c:pivotFmt>
        <c:idx val="17"/>
        <c:spPr>
          <a:solidFill>
            <a:schemeClr val="accent4">
              <a:lumMod val="60000"/>
              <a:lumOff val="40000"/>
            </a:schemeClr>
          </a:solidFill>
          <a:ln w="19050">
            <a:solidFill>
              <a:schemeClr val="lt1"/>
            </a:solidFill>
          </a:ln>
          <a:effectLst/>
        </c:spPr>
      </c:pivotFmt>
      <c:pivotFmt>
        <c:idx val="18"/>
        <c:spPr>
          <a:solidFill>
            <a:schemeClr val="tx1">
              <a:lumMod val="65000"/>
              <a:lumOff val="35000"/>
            </a:schemeClr>
          </a:solidFill>
          <a:ln w="19050">
            <a:solidFill>
              <a:schemeClr val="lt1"/>
            </a:solidFill>
          </a:ln>
          <a:effectLst/>
        </c:spPr>
      </c:pivotFmt>
      <c:pivotFmt>
        <c:idx val="19"/>
        <c:spPr>
          <a:solidFill>
            <a:schemeClr val="accent2">
              <a:lumMod val="20000"/>
              <a:lumOff val="80000"/>
            </a:schemeClr>
          </a:solidFill>
          <a:ln w="19050">
            <a:solidFill>
              <a:schemeClr val="lt1"/>
            </a:solidFill>
          </a:ln>
          <a:effectLst/>
        </c:spPr>
      </c:pivotFmt>
      <c:pivotFmt>
        <c:idx val="20"/>
        <c:spPr>
          <a:solidFill>
            <a:schemeClr val="accent3">
              <a:lumMod val="20000"/>
              <a:lumOff val="80000"/>
            </a:schemeClr>
          </a:solidFill>
          <a:ln w="19050">
            <a:solidFill>
              <a:schemeClr val="lt1"/>
            </a:solidFill>
          </a:ln>
          <a:effectLst/>
        </c:spPr>
      </c:pivotFmt>
      <c:pivotFmt>
        <c:idx val="21"/>
        <c:spPr>
          <a:solidFill>
            <a:schemeClr val="tx2">
              <a:lumMod val="10000"/>
              <a:lumOff val="90000"/>
            </a:schemeClr>
          </a:solidFill>
          <a:ln w="19050">
            <a:solidFill>
              <a:schemeClr val="lt1"/>
            </a:solidFill>
          </a:ln>
          <a:effectLst/>
        </c:spPr>
      </c:pivotFmt>
      <c:pivotFmt>
        <c:idx val="22"/>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tx2">
              <a:lumMod val="25000"/>
              <a:lumOff val="75000"/>
            </a:schemeClr>
          </a:solidFill>
          <a:ln w="19050">
            <a:solidFill>
              <a:schemeClr val="lt1"/>
            </a:solidFill>
          </a:ln>
          <a:effectLst/>
        </c:spPr>
      </c:pivotFmt>
      <c:pivotFmt>
        <c:idx val="24"/>
        <c:spPr>
          <a:solidFill>
            <a:schemeClr val="accent5">
              <a:lumMod val="60000"/>
              <a:lumOff val="4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bg1">
              <a:lumMod val="95000"/>
            </a:schemeClr>
          </a:solidFill>
          <a:ln w="19050">
            <a:solidFill>
              <a:schemeClr val="lt1"/>
            </a:solidFill>
          </a:ln>
          <a:effectLst/>
        </c:spPr>
      </c:pivotFmt>
      <c:pivotFmt>
        <c:idx val="27"/>
        <c:spPr>
          <a:solidFill>
            <a:schemeClr val="accent4">
              <a:lumMod val="60000"/>
              <a:lumOff val="40000"/>
            </a:schemeClr>
          </a:solidFill>
          <a:ln w="19050">
            <a:solidFill>
              <a:schemeClr val="lt1"/>
            </a:solidFill>
          </a:ln>
          <a:effectLst/>
        </c:spPr>
      </c:pivotFmt>
      <c:pivotFmt>
        <c:idx val="28"/>
        <c:spPr>
          <a:solidFill>
            <a:schemeClr val="tx1">
              <a:lumMod val="65000"/>
              <a:lumOff val="35000"/>
            </a:schemeClr>
          </a:solidFill>
          <a:ln w="19050">
            <a:solidFill>
              <a:schemeClr val="lt1"/>
            </a:solidFill>
          </a:ln>
          <a:effectLst/>
        </c:spPr>
      </c:pivotFmt>
      <c:pivotFmt>
        <c:idx val="29"/>
        <c:spPr>
          <a:solidFill>
            <a:schemeClr val="accent2">
              <a:lumMod val="20000"/>
              <a:lumOff val="80000"/>
            </a:schemeClr>
          </a:solidFill>
          <a:ln w="19050">
            <a:solidFill>
              <a:schemeClr val="lt1"/>
            </a:solidFill>
          </a:ln>
          <a:effectLst/>
        </c:spPr>
      </c:pivotFmt>
      <c:pivotFmt>
        <c:idx val="30"/>
        <c:spPr>
          <a:solidFill>
            <a:schemeClr val="accent3">
              <a:lumMod val="20000"/>
              <a:lumOff val="80000"/>
            </a:schemeClr>
          </a:solidFill>
          <a:ln w="19050">
            <a:solidFill>
              <a:schemeClr val="lt1"/>
            </a:solidFill>
          </a:ln>
          <a:effectLst/>
        </c:spPr>
      </c:pivotFmt>
      <c:pivotFmt>
        <c:idx val="31"/>
        <c:spPr>
          <a:solidFill>
            <a:schemeClr val="tx2">
              <a:lumMod val="10000"/>
              <a:lumOff val="90000"/>
            </a:schemeClr>
          </a:solidFill>
          <a:ln w="19050">
            <a:solidFill>
              <a:schemeClr val="lt1"/>
            </a:solidFill>
          </a:ln>
          <a:effectLst/>
        </c:spPr>
      </c:pivotFmt>
      <c:pivotFmt>
        <c:idx val="32"/>
        <c:spPr>
          <a:solidFill>
            <a:schemeClr val="bg1">
              <a:lumMod val="75000"/>
            </a:schemeClr>
          </a:solidFill>
          <a:ln w="19050">
            <a:solidFill>
              <a:schemeClr val="lt1"/>
            </a:solidFill>
          </a:ln>
          <a:effectLst/>
        </c:spPr>
        <c:dLbl>
          <c:idx val="0"/>
          <c:layout>
            <c:manualLayout>
              <c:x val="0"/>
              <c:y val="-4.22675368676094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6">
              <a:lumMod val="60000"/>
              <a:lumOff val="40000"/>
            </a:schemeClr>
          </a:solidFill>
          <a:ln w="19050">
            <a:solidFill>
              <a:schemeClr val="lt1"/>
            </a:solidFill>
          </a:ln>
          <a:effectLst/>
        </c:spPr>
        <c:dLbl>
          <c:idx val="0"/>
          <c:layout>
            <c:manualLayout>
              <c:x val="2.1997931847982165E-3"/>
              <c:y val="-2.1133768433804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5">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tx2">
              <a:lumMod val="25000"/>
              <a:lumOff val="75000"/>
            </a:schemeClr>
          </a:solidFill>
          <a:ln w="19050">
            <a:solidFill>
              <a:schemeClr val="lt1"/>
            </a:solidFill>
          </a:ln>
          <a:effectLst/>
        </c:spPr>
      </c:pivotFmt>
      <c:pivotFmt>
        <c:idx val="36"/>
        <c:spPr>
          <a:solidFill>
            <a:schemeClr val="accent5">
              <a:lumMod val="60000"/>
              <a:lumOff val="40000"/>
            </a:schemeClr>
          </a:solidFill>
          <a:ln w="19050">
            <a:solidFill>
              <a:schemeClr val="lt1"/>
            </a:solidFill>
          </a:ln>
          <a:effectLst/>
        </c:spPr>
      </c:pivotFmt>
      <c:pivotFmt>
        <c:idx val="37"/>
        <c:spPr>
          <a:solidFill>
            <a:schemeClr val="accent5">
              <a:lumMod val="20000"/>
              <a:lumOff val="80000"/>
            </a:schemeClr>
          </a:solidFill>
          <a:ln w="19050">
            <a:solidFill>
              <a:schemeClr val="lt1"/>
            </a:solidFill>
          </a:ln>
          <a:effectLst/>
        </c:spPr>
      </c:pivotFmt>
      <c:pivotFmt>
        <c:idx val="38"/>
        <c:spPr>
          <a:solidFill>
            <a:schemeClr val="bg1">
              <a:lumMod val="95000"/>
            </a:schemeClr>
          </a:solidFill>
          <a:ln w="19050">
            <a:solidFill>
              <a:schemeClr val="lt1"/>
            </a:solidFill>
          </a:ln>
          <a:effectLst/>
        </c:spPr>
      </c:pivotFmt>
      <c:pivotFmt>
        <c:idx val="39"/>
        <c:spPr>
          <a:solidFill>
            <a:schemeClr val="accent4">
              <a:lumMod val="60000"/>
              <a:lumOff val="40000"/>
            </a:schemeClr>
          </a:solidFill>
          <a:ln w="19050">
            <a:solidFill>
              <a:schemeClr val="lt1"/>
            </a:solidFill>
          </a:ln>
          <a:effectLst/>
        </c:spPr>
      </c:pivotFmt>
      <c:pivotFmt>
        <c:idx val="40"/>
        <c:spPr>
          <a:solidFill>
            <a:schemeClr val="tx1">
              <a:lumMod val="65000"/>
              <a:lumOff val="35000"/>
            </a:schemeClr>
          </a:solidFill>
          <a:ln w="19050">
            <a:solidFill>
              <a:schemeClr val="lt1"/>
            </a:solidFill>
          </a:ln>
          <a:effectLst/>
        </c:spPr>
      </c:pivotFmt>
      <c:pivotFmt>
        <c:idx val="41"/>
        <c:spPr>
          <a:solidFill>
            <a:schemeClr val="accent2">
              <a:lumMod val="20000"/>
              <a:lumOff val="80000"/>
            </a:schemeClr>
          </a:solidFill>
          <a:ln w="19050">
            <a:solidFill>
              <a:schemeClr val="lt1"/>
            </a:solidFill>
          </a:ln>
          <a:effectLst/>
        </c:spPr>
      </c:pivotFmt>
      <c:pivotFmt>
        <c:idx val="42"/>
        <c:spPr>
          <a:solidFill>
            <a:schemeClr val="accent3">
              <a:lumMod val="20000"/>
              <a:lumOff val="80000"/>
            </a:schemeClr>
          </a:solidFill>
          <a:ln w="19050">
            <a:solidFill>
              <a:schemeClr val="lt1"/>
            </a:solidFill>
          </a:ln>
          <a:effectLst/>
        </c:spPr>
      </c:pivotFmt>
      <c:pivotFmt>
        <c:idx val="43"/>
        <c:spPr>
          <a:solidFill>
            <a:schemeClr val="tx2">
              <a:lumMod val="10000"/>
              <a:lumOff val="90000"/>
            </a:schemeClr>
          </a:solidFill>
          <a:ln w="19050">
            <a:solidFill>
              <a:schemeClr val="lt1"/>
            </a:solidFill>
          </a:ln>
          <a:effectLst/>
        </c:spPr>
      </c:pivotFmt>
      <c:pivotFmt>
        <c:idx val="44"/>
        <c:spPr>
          <a:solidFill>
            <a:schemeClr val="bg1">
              <a:lumMod val="75000"/>
            </a:schemeClr>
          </a:solidFill>
          <a:ln w="19050">
            <a:solidFill>
              <a:schemeClr val="lt1"/>
            </a:solidFill>
          </a:ln>
          <a:effectLst/>
        </c:spPr>
        <c:dLbl>
          <c:idx val="0"/>
          <c:layout>
            <c:manualLayout>
              <c:x val="0"/>
              <c:y val="-4.226753686760942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6">
              <a:lumMod val="60000"/>
              <a:lumOff val="40000"/>
            </a:schemeClr>
          </a:solidFill>
          <a:ln w="19050">
            <a:solidFill>
              <a:schemeClr val="lt1"/>
            </a:solidFill>
          </a:ln>
          <a:effectLst/>
        </c:spPr>
        <c:dLbl>
          <c:idx val="0"/>
          <c:layout>
            <c:manualLayout>
              <c:x val="2.1997931847982165E-3"/>
              <c:y val="-2.1133768433804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8.3884514435695529E-2"/>
          <c:y val="0.12576625374057543"/>
          <c:w val="0.66772630814765177"/>
          <c:h val="0.79957035625323902"/>
        </c:manualLayout>
      </c:layout>
      <c:doughnutChart>
        <c:varyColors val="1"/>
        <c:ser>
          <c:idx val="0"/>
          <c:order val="0"/>
          <c:tx>
            <c:strRef>
              <c:f>'Revenue by Genre'!$B$1</c:f>
              <c:strCache>
                <c:ptCount val="1"/>
                <c:pt idx="0">
                  <c:v>Total</c:v>
                </c:pt>
              </c:strCache>
            </c:strRef>
          </c:tx>
          <c:spPr>
            <a:solidFill>
              <a:schemeClr val="accent5">
                <a:lumMod val="60000"/>
                <a:lumOff val="40000"/>
              </a:schemeClr>
            </a:solidFill>
          </c:spPr>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B731-400E-A767-916691BDABD2}"/>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B731-400E-A767-916691BDABD2}"/>
              </c:ext>
            </c:extLst>
          </c:dPt>
          <c:dPt>
            <c:idx val="2"/>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5-B731-400E-A767-916691BDABD2}"/>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7-B731-400E-A767-916691BDABD2}"/>
              </c:ext>
            </c:extLst>
          </c:dPt>
          <c:dPt>
            <c:idx val="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9-B731-400E-A767-916691BDABD2}"/>
              </c:ext>
            </c:extLst>
          </c:dPt>
          <c:dPt>
            <c:idx val="5"/>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B-B731-400E-A767-916691BDABD2}"/>
              </c:ext>
            </c:extLst>
          </c:dPt>
          <c:dPt>
            <c:idx val="6"/>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D-B731-400E-A767-916691BDABD2}"/>
              </c:ext>
            </c:extLst>
          </c:dPt>
          <c:dPt>
            <c:idx val="7"/>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F-B731-400E-A767-916691BDABD2}"/>
              </c:ext>
            </c:extLst>
          </c:dPt>
          <c:dPt>
            <c:idx val="8"/>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11-B731-400E-A767-916691BDABD2}"/>
              </c:ext>
            </c:extLst>
          </c:dPt>
          <c:dPt>
            <c:idx val="9"/>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13-B731-400E-A767-916691BDABD2}"/>
              </c:ext>
            </c:extLst>
          </c:dPt>
          <c:dPt>
            <c:idx val="1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5-B731-400E-A767-916691BDABD2}"/>
              </c:ext>
            </c:extLst>
          </c:dPt>
          <c:dLbls>
            <c:dLbl>
              <c:idx val="9"/>
              <c:layout>
                <c:manualLayout>
                  <c:x val="0"/>
                  <c:y val="-4.226753686760942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B731-400E-A767-916691BDABD2}"/>
                </c:ext>
              </c:extLst>
            </c:dLbl>
            <c:dLbl>
              <c:idx val="10"/>
              <c:layout>
                <c:manualLayout>
                  <c:x val="2.1997931847982165E-3"/>
                  <c:y val="-2.11337684338047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B731-400E-A767-916691BDAB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Genre'!$A$2:$A$13</c:f>
              <c:strCache>
                <c:ptCount val="11"/>
                <c:pt idx="0">
                  <c:v>Fiction</c:v>
                </c:pt>
                <c:pt idx="1">
                  <c:v>Self-Help</c:v>
                </c:pt>
                <c:pt idx="2">
                  <c:v>Sci-Fi</c:v>
                </c:pt>
                <c:pt idx="3">
                  <c:v>Non-Fiction</c:v>
                </c:pt>
                <c:pt idx="4">
                  <c:v>Mystery</c:v>
                </c:pt>
                <c:pt idx="5">
                  <c:v>Historical Fiction</c:v>
                </c:pt>
                <c:pt idx="6">
                  <c:v>Finance</c:v>
                </c:pt>
                <c:pt idx="7">
                  <c:v>Biography</c:v>
                </c:pt>
                <c:pt idx="8">
                  <c:v>Fantasy</c:v>
                </c:pt>
                <c:pt idx="9">
                  <c:v>Psychology</c:v>
                </c:pt>
                <c:pt idx="10">
                  <c:v>Business</c:v>
                </c:pt>
              </c:strCache>
            </c:strRef>
          </c:cat>
          <c:val>
            <c:numRef>
              <c:f>'Revenue by Genre'!$B$2:$B$13</c:f>
              <c:numCache>
                <c:formatCode>"$"#,##0.00</c:formatCode>
                <c:ptCount val="11"/>
                <c:pt idx="0">
                  <c:v>1441.3</c:v>
                </c:pt>
                <c:pt idx="1">
                  <c:v>984</c:v>
                </c:pt>
                <c:pt idx="2">
                  <c:v>962.25</c:v>
                </c:pt>
                <c:pt idx="3">
                  <c:v>878.5</c:v>
                </c:pt>
                <c:pt idx="4">
                  <c:v>876.81999999999994</c:v>
                </c:pt>
                <c:pt idx="5">
                  <c:v>513.5</c:v>
                </c:pt>
                <c:pt idx="6">
                  <c:v>507.5</c:v>
                </c:pt>
                <c:pt idx="7">
                  <c:v>476</c:v>
                </c:pt>
                <c:pt idx="8">
                  <c:v>372.5</c:v>
                </c:pt>
                <c:pt idx="9">
                  <c:v>279.3</c:v>
                </c:pt>
                <c:pt idx="10">
                  <c:v>247.5</c:v>
                </c:pt>
              </c:numCache>
            </c:numRef>
          </c:val>
          <c:extLst>
            <c:ext xmlns:c16="http://schemas.microsoft.com/office/drawing/2014/chart" uri="{C3380CC4-5D6E-409C-BE32-E72D297353CC}">
              <c16:uniqueId val="{00000016-B731-400E-A767-916691BDABD2}"/>
            </c:ext>
          </c:extLst>
        </c:ser>
        <c:dLbls>
          <c:showLegendKey val="0"/>
          <c:showVal val="0"/>
          <c:showCatName val="0"/>
          <c:showSerName val="0"/>
          <c:showPercent val="0"/>
          <c:showBubbleSize val="0"/>
          <c:showLeaderLines val="1"/>
        </c:dLbls>
        <c:firstSliceAng val="0"/>
        <c:holeSize val="50"/>
      </c:doughnutChart>
      <c:spPr>
        <a:solidFill>
          <a:schemeClr val="bg1"/>
        </a:solidFill>
        <a:ln>
          <a:solidFill>
            <a:schemeClr val="bg1"/>
          </a:solidFill>
        </a:ln>
        <a:effectLst/>
      </c:spPr>
    </c:plotArea>
    <c:legend>
      <c:legendPos val="r"/>
      <c:layout>
        <c:manualLayout>
          <c:xMode val="edge"/>
          <c:yMode val="edge"/>
          <c:x val="0.76367964004499445"/>
          <c:y val="0.11892627057981386"/>
          <c:w val="0.21917750281214848"/>
          <c:h val="0.78810750928861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dataset.xlsx]Sales trend overtime!PivotTable7</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u="sng"/>
              <a:t>Sales</a:t>
            </a:r>
            <a:r>
              <a:rPr lang="en-US" b="1" u="sng" baseline="0"/>
              <a:t> Trend</a:t>
            </a:r>
            <a:r>
              <a:rPr lang="en-US" b="1" u="sng"/>
              <a:t> Overtime by Publication Year</a:t>
            </a:r>
          </a:p>
        </c:rich>
      </c:tx>
      <c:layout>
        <c:manualLayout>
          <c:xMode val="edge"/>
          <c:yMode val="edge"/>
          <c:x val="0.3139029884835709"/>
          <c:y val="3.067462346926972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5">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60000"/>
                <a:lumOff val="40000"/>
              </a:schemeClr>
            </a:solidFill>
            <a:round/>
          </a:ln>
          <a:effectLst/>
        </c:spPr>
        <c:marker>
          <c:symbol val="none"/>
        </c:marker>
        <c:dLbl>
          <c:idx val="0"/>
          <c:layout>
            <c:manualLayout>
              <c:x val="0"/>
              <c:y val="-8.823529411764707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4816C7B-6824-47DE-8794-A4BB7C48C4EE}" type="VALUE">
                  <a:rPr lang="en-US" b="1"/>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846447595847695"/>
          <c:y val="0.20212534059945503"/>
          <c:w val="0.78711390537030101"/>
          <c:h val="0.50357784977150333"/>
        </c:manualLayout>
      </c:layout>
      <c:lineChart>
        <c:grouping val="standard"/>
        <c:varyColors val="0"/>
        <c:ser>
          <c:idx val="0"/>
          <c:order val="0"/>
          <c:tx>
            <c:strRef>
              <c:f>'Sales trend overtime'!$B$1</c:f>
              <c:strCache>
                <c:ptCount val="1"/>
                <c:pt idx="0">
                  <c:v>Total</c:v>
                </c:pt>
              </c:strCache>
            </c:strRef>
          </c:tx>
          <c:spPr>
            <a:ln w="28575" cap="rnd">
              <a:solidFill>
                <a:schemeClr val="accent5">
                  <a:lumMod val="60000"/>
                  <a:lumOff val="40000"/>
                </a:schemeClr>
              </a:solidFill>
              <a:round/>
            </a:ln>
            <a:effectLst/>
          </c:spPr>
          <c:marker>
            <c:symbol val="none"/>
          </c:marker>
          <c:dPt>
            <c:idx val="17"/>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1-93B1-4598-B546-5AA63A2CA28B}"/>
              </c:ext>
            </c:extLst>
          </c:dPt>
          <c:dPt>
            <c:idx val="18"/>
            <c:marker>
              <c:symbol val="none"/>
            </c:marker>
            <c:bubble3D val="0"/>
            <c:spPr>
              <a:ln w="28575" cap="rnd">
                <a:solidFill>
                  <a:schemeClr val="accent5">
                    <a:lumMod val="60000"/>
                    <a:lumOff val="40000"/>
                  </a:schemeClr>
                </a:solidFill>
                <a:round/>
              </a:ln>
              <a:effectLst/>
            </c:spPr>
            <c:extLst>
              <c:ext xmlns:c16="http://schemas.microsoft.com/office/drawing/2014/chart" uri="{C3380CC4-5D6E-409C-BE32-E72D297353CC}">
                <c16:uniqueId val="{00000003-93B1-4598-B546-5AA63A2CA28B}"/>
              </c:ext>
            </c:extLst>
          </c:dPt>
          <c:dLbls>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B1-4598-B546-5AA63A2CA28B}"/>
                </c:ext>
              </c:extLst>
            </c:dLbl>
            <c:dLbl>
              <c:idx val="18"/>
              <c:layout>
                <c:manualLayout>
                  <c:x val="0"/>
                  <c:y val="-8.8235294117647078E-2"/>
                </c:manualLayout>
              </c:layout>
              <c:tx>
                <c:rich>
                  <a:bodyPr/>
                  <a:lstStyle/>
                  <a:p>
                    <a:fld id="{14816C7B-6824-47DE-8794-A4BB7C48C4EE}"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3B1-4598-B546-5AA63A2CA2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overtime'!$A$2:$A$21</c:f>
              <c:strCache>
                <c:ptCount val="19"/>
                <c:pt idx="0">
                  <c:v>1949</c:v>
                </c:pt>
                <c:pt idx="1">
                  <c:v>1813</c:v>
                </c:pt>
                <c:pt idx="2">
                  <c:v>2007</c:v>
                </c:pt>
                <c:pt idx="3">
                  <c:v>2003</c:v>
                </c:pt>
                <c:pt idx="4">
                  <c:v>2006</c:v>
                </c:pt>
                <c:pt idx="5">
                  <c:v>1965</c:v>
                </c:pt>
                <c:pt idx="6">
                  <c:v>1954</c:v>
                </c:pt>
                <c:pt idx="7">
                  <c:v>2019</c:v>
                </c:pt>
                <c:pt idx="8">
                  <c:v>1951</c:v>
                </c:pt>
                <c:pt idx="9">
                  <c:v>1988</c:v>
                </c:pt>
                <c:pt idx="10">
                  <c:v>2010</c:v>
                </c:pt>
                <c:pt idx="11">
                  <c:v>1979</c:v>
                </c:pt>
                <c:pt idx="12">
                  <c:v>2015</c:v>
                </c:pt>
                <c:pt idx="13">
                  <c:v>1997</c:v>
                </c:pt>
                <c:pt idx="14">
                  <c:v>2005</c:v>
                </c:pt>
                <c:pt idx="15">
                  <c:v>2014</c:v>
                </c:pt>
                <c:pt idx="16">
                  <c:v>2020</c:v>
                </c:pt>
                <c:pt idx="17">
                  <c:v>2011</c:v>
                </c:pt>
                <c:pt idx="18">
                  <c:v>2018</c:v>
                </c:pt>
              </c:strCache>
            </c:strRef>
          </c:cat>
          <c:val>
            <c:numRef>
              <c:f>'Sales trend overtime'!$B$2:$B$21</c:f>
              <c:numCache>
                <c:formatCode>"$"#,##0.00</c:formatCode>
                <c:ptCount val="19"/>
                <c:pt idx="0">
                  <c:v>102</c:v>
                </c:pt>
                <c:pt idx="1">
                  <c:v>142.5</c:v>
                </c:pt>
                <c:pt idx="2">
                  <c:v>172.5</c:v>
                </c:pt>
                <c:pt idx="3">
                  <c:v>189</c:v>
                </c:pt>
                <c:pt idx="4">
                  <c:v>193.5</c:v>
                </c:pt>
                <c:pt idx="5">
                  <c:v>195</c:v>
                </c:pt>
                <c:pt idx="6">
                  <c:v>200</c:v>
                </c:pt>
                <c:pt idx="7">
                  <c:v>251.82</c:v>
                </c:pt>
                <c:pt idx="8">
                  <c:v>259.60000000000002</c:v>
                </c:pt>
                <c:pt idx="9">
                  <c:v>299.7</c:v>
                </c:pt>
                <c:pt idx="10">
                  <c:v>316</c:v>
                </c:pt>
                <c:pt idx="11">
                  <c:v>324.75</c:v>
                </c:pt>
                <c:pt idx="12">
                  <c:v>337.5</c:v>
                </c:pt>
                <c:pt idx="13">
                  <c:v>364</c:v>
                </c:pt>
                <c:pt idx="14">
                  <c:v>451</c:v>
                </c:pt>
                <c:pt idx="15">
                  <c:v>562.5</c:v>
                </c:pt>
                <c:pt idx="16">
                  <c:v>762.5</c:v>
                </c:pt>
                <c:pt idx="17">
                  <c:v>969.3</c:v>
                </c:pt>
                <c:pt idx="18">
                  <c:v>1446</c:v>
                </c:pt>
              </c:numCache>
            </c:numRef>
          </c:val>
          <c:smooth val="0"/>
          <c:extLst>
            <c:ext xmlns:c16="http://schemas.microsoft.com/office/drawing/2014/chart" uri="{C3380CC4-5D6E-409C-BE32-E72D297353CC}">
              <c16:uniqueId val="{00000004-93B1-4598-B546-5AA63A2CA28B}"/>
            </c:ext>
          </c:extLst>
        </c:ser>
        <c:dLbls>
          <c:showLegendKey val="0"/>
          <c:showVal val="0"/>
          <c:showCatName val="0"/>
          <c:showSerName val="0"/>
          <c:showPercent val="0"/>
          <c:showBubbleSize val="0"/>
        </c:dLbls>
        <c:smooth val="0"/>
        <c:axId val="776823840"/>
        <c:axId val="776824800"/>
      </c:lineChart>
      <c:catAx>
        <c:axId val="77682384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Year</a:t>
                </a:r>
              </a:p>
            </c:rich>
          </c:tx>
          <c:layout>
            <c:manualLayout>
              <c:xMode val="edge"/>
              <c:yMode val="edge"/>
              <c:x val="0.50518863236755596"/>
              <c:y val="0.8789916628068551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6824800"/>
        <c:crosses val="autoZero"/>
        <c:auto val="1"/>
        <c:lblAlgn val="ctr"/>
        <c:lblOffset val="100"/>
        <c:noMultiLvlLbl val="0"/>
      </c:catAx>
      <c:valAx>
        <c:axId val="7768248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Revenue</a:t>
                </a:r>
              </a:p>
            </c:rich>
          </c:tx>
          <c:layout>
            <c:manualLayout>
              <c:xMode val="edge"/>
              <c:yMode val="edge"/>
              <c:x val="1.554449201131412E-2"/>
              <c:y val="0.274358962482630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682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Inventory dataset.xlsx]Revenue by Author!PivotTable5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t>Top</a:t>
            </a:r>
            <a:r>
              <a:rPr lang="en-US" sz="1400" b="1" u="sng" baseline="0"/>
              <a:t> 10 Author by Revenue</a:t>
            </a:r>
            <a:endParaRPr lang="en-US" sz="1400" b="1" u="sng"/>
          </a:p>
        </c:rich>
      </c:tx>
      <c:layout>
        <c:manualLayout>
          <c:xMode val="edge"/>
          <c:yMode val="edge"/>
          <c:x val="0.3701041119860017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31714785651792"/>
          <c:y val="0.16041666666666668"/>
          <c:w val="0.79012729658792646"/>
          <c:h val="0.48708624963546221"/>
        </c:manualLayout>
      </c:layout>
      <c:barChart>
        <c:barDir val="col"/>
        <c:grouping val="clustered"/>
        <c:varyColors val="0"/>
        <c:ser>
          <c:idx val="0"/>
          <c:order val="0"/>
          <c:tx>
            <c:strRef>
              <c:f>'Revenue by Author'!$B$2</c:f>
              <c:strCache>
                <c:ptCount val="1"/>
                <c:pt idx="0">
                  <c:v>Total</c:v>
                </c:pt>
              </c:strCache>
            </c:strRef>
          </c:tx>
          <c:spPr>
            <a:solidFill>
              <a:schemeClr val="bg2">
                <a:lumMod val="9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0-4971-40C7-8EEA-71BA49E3A4E5}"/>
              </c:ext>
            </c:extLst>
          </c:dPt>
          <c:dPt>
            <c:idx val="9"/>
            <c:invertIfNegative val="0"/>
            <c:bubble3D val="0"/>
            <c:spPr>
              <a:solidFill>
                <a:schemeClr val="bg2">
                  <a:lumMod val="90000"/>
                </a:schemeClr>
              </a:solidFill>
              <a:ln>
                <a:noFill/>
              </a:ln>
              <a:effectLst/>
            </c:spPr>
            <c:extLst>
              <c:ext xmlns:c16="http://schemas.microsoft.com/office/drawing/2014/chart" uri="{C3380CC4-5D6E-409C-BE32-E72D297353CC}">
                <c16:uniqueId val="{00000001-4971-40C7-8EEA-71BA49E3A4E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71-40C7-8EEA-71BA49E3A4E5}"/>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71-40C7-8EEA-71BA49E3A4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Author'!$A$3:$A$13</c:f>
              <c:strCache>
                <c:ptCount val="10"/>
                <c:pt idx="0">
                  <c:v>James Clear</c:v>
                </c:pt>
                <c:pt idx="1">
                  <c:v>Yuval Noah Harari</c:v>
                </c:pt>
                <c:pt idx="2">
                  <c:v>Morgan Housel</c:v>
                </c:pt>
                <c:pt idx="3">
                  <c:v>Tara Westover</c:v>
                </c:pt>
                <c:pt idx="4">
                  <c:v>Andy Weir</c:v>
                </c:pt>
                <c:pt idx="5">
                  <c:v>Eckhart Tolle</c:v>
                </c:pt>
                <c:pt idx="6">
                  <c:v>Delia Owens</c:v>
                </c:pt>
                <c:pt idx="7">
                  <c:v>Kristin Hannah</c:v>
                </c:pt>
                <c:pt idx="8">
                  <c:v>Douglas Adams</c:v>
                </c:pt>
                <c:pt idx="9">
                  <c:v>Rebecca Skloot</c:v>
                </c:pt>
              </c:strCache>
            </c:strRef>
          </c:cat>
          <c:val>
            <c:numRef>
              <c:f>'Revenue by Author'!$B$3:$B$13</c:f>
              <c:numCache>
                <c:formatCode>"$"#,##0.00</c:formatCode>
                <c:ptCount val="10"/>
                <c:pt idx="0">
                  <c:v>620</c:v>
                </c:pt>
                <c:pt idx="1">
                  <c:v>562.5</c:v>
                </c:pt>
                <c:pt idx="2">
                  <c:v>507.5</c:v>
                </c:pt>
                <c:pt idx="3">
                  <c:v>476</c:v>
                </c:pt>
                <c:pt idx="4">
                  <c:v>442.5</c:v>
                </c:pt>
                <c:pt idx="5">
                  <c:v>364</c:v>
                </c:pt>
                <c:pt idx="6">
                  <c:v>350</c:v>
                </c:pt>
                <c:pt idx="7">
                  <c:v>337.5</c:v>
                </c:pt>
                <c:pt idx="8">
                  <c:v>324.75</c:v>
                </c:pt>
                <c:pt idx="9">
                  <c:v>316</c:v>
                </c:pt>
              </c:numCache>
            </c:numRef>
          </c:val>
          <c:extLst>
            <c:ext xmlns:c16="http://schemas.microsoft.com/office/drawing/2014/chart" uri="{C3380CC4-5D6E-409C-BE32-E72D297353CC}">
              <c16:uniqueId val="{00000002-4971-40C7-8EEA-71BA49E3A4E5}"/>
            </c:ext>
          </c:extLst>
        </c:ser>
        <c:dLbls>
          <c:showLegendKey val="0"/>
          <c:showVal val="0"/>
          <c:showCatName val="0"/>
          <c:showSerName val="0"/>
          <c:showPercent val="0"/>
          <c:showBubbleSize val="0"/>
        </c:dLbls>
        <c:gapWidth val="219"/>
        <c:overlap val="-27"/>
        <c:axId val="711551023"/>
        <c:axId val="711550543"/>
      </c:barChart>
      <c:catAx>
        <c:axId val="711551023"/>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b="1"/>
                  <a:t>Author</a:t>
                </a:r>
              </a:p>
            </c:rich>
          </c:tx>
          <c:layout>
            <c:manualLayout>
              <c:xMode val="edge"/>
              <c:yMode val="edge"/>
              <c:x val="0.43305424321959757"/>
              <c:y val="0.88793963254593178"/>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550543"/>
        <c:crosses val="autoZero"/>
        <c:auto val="1"/>
        <c:lblAlgn val="ctr"/>
        <c:lblOffset val="100"/>
        <c:noMultiLvlLbl val="0"/>
      </c:catAx>
      <c:valAx>
        <c:axId val="711550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900" b="1"/>
                  <a:t>Revenue</a:t>
                </a:r>
              </a:p>
            </c:rich>
          </c:tx>
          <c:layout>
            <c:manualLayout>
              <c:xMode val="edge"/>
              <c:yMode val="edge"/>
              <c:x val="1.1111111111111112E-2"/>
              <c:y val="0.30519685039370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5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234950</xdr:colOff>
      <xdr:row>1</xdr:row>
      <xdr:rowOff>38100</xdr:rowOff>
    </xdr:from>
    <xdr:to>
      <xdr:col>11</xdr:col>
      <xdr:colOff>25400</xdr:colOff>
      <xdr:row>15</xdr:row>
      <xdr:rowOff>177800</xdr:rowOff>
    </xdr:to>
    <xdr:graphicFrame macro="">
      <xdr:nvGraphicFramePr>
        <xdr:cNvPr id="3" name="Chart 2">
          <a:extLst>
            <a:ext uri="{FF2B5EF4-FFF2-40B4-BE49-F238E27FC236}">
              <a16:creationId xmlns:a16="http://schemas.microsoft.com/office/drawing/2014/main" id="{CF060F08-AB10-2BE2-14B9-7C4C48894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493059</xdr:colOff>
      <xdr:row>1</xdr:row>
      <xdr:rowOff>118037</xdr:rowOff>
    </xdr:from>
    <xdr:to>
      <xdr:col>10</xdr:col>
      <xdr:colOff>425823</xdr:colOff>
      <xdr:row>17</xdr:row>
      <xdr:rowOff>134472</xdr:rowOff>
    </xdr:to>
    <xdr:graphicFrame macro="">
      <xdr:nvGraphicFramePr>
        <xdr:cNvPr id="2" name="Chart 1">
          <a:extLst>
            <a:ext uri="{FF2B5EF4-FFF2-40B4-BE49-F238E27FC236}">
              <a16:creationId xmlns:a16="http://schemas.microsoft.com/office/drawing/2014/main" id="{30AC12F8-EAC3-3D73-26A2-5158F7F46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559921</xdr:colOff>
      <xdr:row>2</xdr:row>
      <xdr:rowOff>748</xdr:rowOff>
    </xdr:from>
    <xdr:to>
      <xdr:col>15</xdr:col>
      <xdr:colOff>304128</xdr:colOff>
      <xdr:row>12</xdr:row>
      <xdr:rowOff>37353</xdr:rowOff>
    </xdr:to>
    <mc:AlternateContent xmlns:mc="http://schemas.openxmlformats.org/markup-compatibility/2006" xmlns:a14="http://schemas.microsoft.com/office/drawing/2010/main">
      <mc:Choice Requires="a14">
        <xdr:graphicFrame macro="">
          <xdr:nvGraphicFramePr>
            <xdr:cNvPr id="3" name="Genre ">
              <a:extLst>
                <a:ext uri="{FF2B5EF4-FFF2-40B4-BE49-F238E27FC236}">
                  <a16:creationId xmlns:a16="http://schemas.microsoft.com/office/drawing/2014/main" id="{2D06C9E1-93EF-E8C3-80F9-CA50B355CE63}"/>
                </a:ext>
              </a:extLst>
            </xdr:cNvPr>
            <xdr:cNvGraphicFramePr/>
          </xdr:nvGraphicFramePr>
          <xdr:xfrm>
            <a:off x="0" y="0"/>
            <a:ext cx="0" cy="0"/>
          </xdr:xfrm>
          <a:graphic>
            <a:graphicData uri="http://schemas.microsoft.com/office/drawing/2010/slicer">
              <sle:slicer xmlns:sle="http://schemas.microsoft.com/office/drawing/2010/slicer" name="Genre "/>
            </a:graphicData>
          </a:graphic>
        </xdr:graphicFrame>
      </mc:Choice>
      <mc:Fallback xmlns="">
        <xdr:sp macro="" textlink="">
          <xdr:nvSpPr>
            <xdr:cNvPr id="0" name=""/>
            <xdr:cNvSpPr>
              <a:spLocks noTextEdit="1"/>
            </xdr:cNvSpPr>
          </xdr:nvSpPr>
          <xdr:spPr>
            <a:xfrm>
              <a:off x="8127627" y="374277"/>
              <a:ext cx="2194560" cy="1904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244475</xdr:colOff>
      <xdr:row>3</xdr:row>
      <xdr:rowOff>82550</xdr:rowOff>
    </xdr:from>
    <xdr:to>
      <xdr:col>9</xdr:col>
      <xdr:colOff>549275</xdr:colOff>
      <xdr:row>18</xdr:row>
      <xdr:rowOff>63500</xdr:rowOff>
    </xdr:to>
    <xdr:graphicFrame macro="">
      <xdr:nvGraphicFramePr>
        <xdr:cNvPr id="8" name="Chart 7">
          <a:extLst>
            <a:ext uri="{FF2B5EF4-FFF2-40B4-BE49-F238E27FC236}">
              <a16:creationId xmlns:a16="http://schemas.microsoft.com/office/drawing/2014/main" id="{EDF769F6-C4DC-10EE-55BC-C6DD80B39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539750</xdr:colOff>
      <xdr:row>2</xdr:row>
      <xdr:rowOff>101600</xdr:rowOff>
    </xdr:from>
    <xdr:to>
      <xdr:col>11</xdr:col>
      <xdr:colOff>285750</xdr:colOff>
      <xdr:row>14</xdr:row>
      <xdr:rowOff>101600</xdr:rowOff>
    </xdr:to>
    <xdr:graphicFrame macro="">
      <xdr:nvGraphicFramePr>
        <xdr:cNvPr id="2" name="Chart 1">
          <a:extLst>
            <a:ext uri="{FF2B5EF4-FFF2-40B4-BE49-F238E27FC236}">
              <a16:creationId xmlns:a16="http://schemas.microsoft.com/office/drawing/2014/main" id="{3F2536E3-8C51-F619-AFD9-4799E91BD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165100</xdr:colOff>
      <xdr:row>4</xdr:row>
      <xdr:rowOff>19050</xdr:rowOff>
    </xdr:from>
    <xdr:to>
      <xdr:col>15</xdr:col>
      <xdr:colOff>165100</xdr:colOff>
      <xdr:row>12</xdr:row>
      <xdr:rowOff>50800</xdr:rowOff>
    </xdr:to>
    <mc:AlternateContent xmlns:mc="http://schemas.openxmlformats.org/markup-compatibility/2006" xmlns:a14="http://schemas.microsoft.com/office/drawing/2010/main">
      <mc:Choice Requires="a14">
        <xdr:graphicFrame macro="">
          <xdr:nvGraphicFramePr>
            <xdr:cNvPr id="3" name="Publication Year">
              <a:extLst>
                <a:ext uri="{FF2B5EF4-FFF2-40B4-BE49-F238E27FC236}">
                  <a16:creationId xmlns:a16="http://schemas.microsoft.com/office/drawing/2014/main" id="{13AC265E-7556-51BD-C986-F4DBF0496F55}"/>
                </a:ext>
              </a:extLst>
            </xdr:cNvPr>
            <xdr:cNvGraphicFramePr/>
          </xdr:nvGraphicFramePr>
          <xdr:xfrm>
            <a:off x="0" y="0"/>
            <a:ext cx="0" cy="0"/>
          </xdr:xfrm>
          <a:graphic>
            <a:graphicData uri="http://schemas.microsoft.com/office/drawing/2010/slicer">
              <sle:slicer xmlns:sle="http://schemas.microsoft.com/office/drawing/2010/slicer" name="Publication Year"/>
            </a:graphicData>
          </a:graphic>
        </xdr:graphicFrame>
      </mc:Choice>
      <mc:Fallback xmlns="">
        <xdr:sp macro="" textlink="">
          <xdr:nvSpPr>
            <xdr:cNvPr id="0" name=""/>
            <xdr:cNvSpPr>
              <a:spLocks noTextEdit="1"/>
            </xdr:cNvSpPr>
          </xdr:nvSpPr>
          <xdr:spPr>
            <a:xfrm>
              <a:off x="8134350" y="755650"/>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187780</xdr:colOff>
      <xdr:row>4</xdr:row>
      <xdr:rowOff>65085</xdr:rowOff>
    </xdr:from>
    <xdr:to>
      <xdr:col>26</xdr:col>
      <xdr:colOff>361346</xdr:colOff>
      <xdr:row>39</xdr:row>
      <xdr:rowOff>44193</xdr:rowOff>
    </xdr:to>
    <xdr:grpSp>
      <xdr:nvGrpSpPr>
        <xdr:cNvPr id="21" name="Group 20">
          <a:extLst>
            <a:ext uri="{FF2B5EF4-FFF2-40B4-BE49-F238E27FC236}">
              <a16:creationId xmlns:a16="http://schemas.microsoft.com/office/drawing/2014/main" id="{20F0F5E1-4088-92BF-266C-E470C5ABC174}"/>
            </a:ext>
          </a:extLst>
        </xdr:cNvPr>
        <xdr:cNvGrpSpPr/>
      </xdr:nvGrpSpPr>
      <xdr:grpSpPr>
        <a:xfrm>
          <a:off x="2618923" y="790799"/>
          <a:ext cx="13544852" cy="6329108"/>
          <a:chOff x="4229100" y="463020"/>
          <a:chExt cx="13673667" cy="6276190"/>
        </a:xfrm>
      </xdr:grpSpPr>
      <xdr:grpSp>
        <xdr:nvGrpSpPr>
          <xdr:cNvPr id="13" name="Group 12">
            <a:extLst>
              <a:ext uri="{FF2B5EF4-FFF2-40B4-BE49-F238E27FC236}">
                <a16:creationId xmlns:a16="http://schemas.microsoft.com/office/drawing/2014/main" id="{69A7B3FC-E4F5-3DC4-1050-A44DF766B6C0}"/>
              </a:ext>
            </a:extLst>
          </xdr:cNvPr>
          <xdr:cNvGrpSpPr/>
        </xdr:nvGrpSpPr>
        <xdr:grpSpPr>
          <a:xfrm>
            <a:off x="4229100" y="463020"/>
            <a:ext cx="13673667" cy="6276190"/>
            <a:chOff x="323850" y="114300"/>
            <a:chExt cx="13566911" cy="6437233"/>
          </a:xfrm>
        </xdr:grpSpPr>
        <xdr:sp macro="" textlink="">
          <xdr:nvSpPr>
            <xdr:cNvPr id="2" name="Rectangle 1">
              <a:extLst>
                <a:ext uri="{FF2B5EF4-FFF2-40B4-BE49-F238E27FC236}">
                  <a16:creationId xmlns:a16="http://schemas.microsoft.com/office/drawing/2014/main" id="{5667C33E-48AE-5E8D-86E6-C87C9837F5A3}"/>
                </a:ext>
              </a:extLst>
            </xdr:cNvPr>
            <xdr:cNvSpPr/>
          </xdr:nvSpPr>
          <xdr:spPr>
            <a:xfrm>
              <a:off x="323850" y="114301"/>
              <a:ext cx="13566911" cy="6437232"/>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0493566E-2BB3-7185-2D2E-3CE4CBD63BD9}"/>
                </a:ext>
              </a:extLst>
            </xdr:cNvPr>
            <xdr:cNvSpPr/>
          </xdr:nvSpPr>
          <xdr:spPr>
            <a:xfrm>
              <a:off x="323850" y="114300"/>
              <a:ext cx="13547874" cy="838542"/>
            </a:xfrm>
            <a:prstGeom prst="rect">
              <a:avLst/>
            </a:prstGeom>
            <a:solidFill>
              <a:schemeClr val="bg1"/>
            </a:solidFill>
            <a:ln>
              <a:solidFill>
                <a:schemeClr val="tx1"/>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accent2"/>
                  </a:solidFill>
                </a:rPr>
                <a:t>BOOK INVENTORY ANALYSIS</a:t>
              </a:r>
            </a:p>
          </xdr:txBody>
        </xdr:sp>
        <xdr:sp macro="" textlink="">
          <xdr:nvSpPr>
            <xdr:cNvPr id="4" name="Rectangle 3">
              <a:extLst>
                <a:ext uri="{FF2B5EF4-FFF2-40B4-BE49-F238E27FC236}">
                  <a16:creationId xmlns:a16="http://schemas.microsoft.com/office/drawing/2014/main" id="{B36EF0F7-FC39-ECA0-0B76-CCE433C02AA2}"/>
                </a:ext>
              </a:extLst>
            </xdr:cNvPr>
            <xdr:cNvSpPr/>
          </xdr:nvSpPr>
          <xdr:spPr>
            <a:xfrm>
              <a:off x="355622" y="1088122"/>
              <a:ext cx="1725962" cy="892060"/>
            </a:xfrm>
            <a:prstGeom prst="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TOTAL BOOKS</a:t>
              </a:r>
              <a:br>
                <a:rPr lang="en-US" sz="1100">
                  <a:solidFill>
                    <a:schemeClr val="tx1"/>
                  </a:solidFill>
                </a:rPr>
              </a:br>
              <a:r>
                <a:rPr lang="en-US" sz="3600" b="1">
                  <a:solidFill>
                    <a:schemeClr val="accent2"/>
                  </a:solidFill>
                </a:rPr>
                <a:t>25</a:t>
              </a:r>
            </a:p>
          </xdr:txBody>
        </xdr:sp>
        <xdr:sp macro="" textlink="">
          <xdr:nvSpPr>
            <xdr:cNvPr id="5" name="Rectangle 4">
              <a:extLst>
                <a:ext uri="{FF2B5EF4-FFF2-40B4-BE49-F238E27FC236}">
                  <a16:creationId xmlns:a16="http://schemas.microsoft.com/office/drawing/2014/main" id="{4DD753AF-D1E8-4B73-948D-F570DC1D161F}"/>
                </a:ext>
              </a:extLst>
            </xdr:cNvPr>
            <xdr:cNvSpPr/>
          </xdr:nvSpPr>
          <xdr:spPr>
            <a:xfrm>
              <a:off x="2228881" y="1099649"/>
              <a:ext cx="1819842" cy="886883"/>
            </a:xfrm>
            <a:prstGeom prst="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TOTAL</a:t>
              </a:r>
              <a:r>
                <a:rPr lang="en-US" sz="1100" b="1" baseline="0">
                  <a:solidFill>
                    <a:schemeClr val="tx1"/>
                  </a:solidFill>
                </a:rPr>
                <a:t> REVENUE </a:t>
              </a:r>
              <a:br>
                <a:rPr lang="en-US" sz="1100" baseline="0">
                  <a:solidFill>
                    <a:schemeClr val="tx1"/>
                  </a:solidFill>
                </a:rPr>
              </a:br>
              <a:r>
                <a:rPr lang="en-US" sz="3600" b="0" i="0">
                  <a:solidFill>
                    <a:schemeClr val="accent2"/>
                  </a:solidFill>
                  <a:effectLst/>
                  <a:latin typeface="+mn-lt"/>
                  <a:ea typeface="+mn-ea"/>
                  <a:cs typeface="+mn-cs"/>
                </a:rPr>
                <a:t>$</a:t>
              </a:r>
              <a:r>
                <a:rPr lang="en-US" sz="3600" b="1" baseline="0">
                  <a:solidFill>
                    <a:schemeClr val="accent2"/>
                  </a:solidFill>
                </a:rPr>
                <a:t>7,539.8</a:t>
              </a:r>
              <a:endParaRPr lang="en-US" sz="3600" b="1">
                <a:solidFill>
                  <a:schemeClr val="accent2"/>
                </a:solidFill>
              </a:endParaRPr>
            </a:p>
          </xdr:txBody>
        </xdr:sp>
        <xdr:sp macro="" textlink="">
          <xdr:nvSpPr>
            <xdr:cNvPr id="6" name="Rectangle 5">
              <a:extLst>
                <a:ext uri="{FF2B5EF4-FFF2-40B4-BE49-F238E27FC236}">
                  <a16:creationId xmlns:a16="http://schemas.microsoft.com/office/drawing/2014/main" id="{29BADA86-55C0-4A73-B7A6-9AE5ED50F643}"/>
                </a:ext>
              </a:extLst>
            </xdr:cNvPr>
            <xdr:cNvSpPr/>
          </xdr:nvSpPr>
          <xdr:spPr>
            <a:xfrm>
              <a:off x="355625" y="2070896"/>
              <a:ext cx="1738096" cy="911811"/>
            </a:xfrm>
            <a:prstGeom prst="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AVERAGE</a:t>
              </a:r>
              <a:r>
                <a:rPr lang="en-US" sz="1100" b="1" baseline="0">
                  <a:solidFill>
                    <a:schemeClr val="tx1"/>
                  </a:solidFill>
                </a:rPr>
                <a:t> QTY</a:t>
              </a:r>
              <a:br>
                <a:rPr lang="en-US" sz="1100" b="1" baseline="0">
                  <a:solidFill>
                    <a:schemeClr val="tx1"/>
                  </a:solidFill>
                </a:rPr>
              </a:br>
              <a:r>
                <a:rPr lang="en-US" sz="3200" b="1" baseline="0">
                  <a:solidFill>
                    <a:schemeClr val="accent2"/>
                  </a:solidFill>
                </a:rPr>
                <a:t>21.36</a:t>
              </a:r>
              <a:endParaRPr lang="en-US" sz="3200" b="1">
                <a:solidFill>
                  <a:schemeClr val="accent2"/>
                </a:solidFill>
              </a:endParaRPr>
            </a:p>
          </xdr:txBody>
        </xdr:sp>
        <xdr:sp macro="" textlink="">
          <xdr:nvSpPr>
            <xdr:cNvPr id="7" name="Rectangle 6">
              <a:extLst>
                <a:ext uri="{FF2B5EF4-FFF2-40B4-BE49-F238E27FC236}">
                  <a16:creationId xmlns:a16="http://schemas.microsoft.com/office/drawing/2014/main" id="{F36320C1-80E1-412C-82D5-9B08F221FD50}"/>
                </a:ext>
              </a:extLst>
            </xdr:cNvPr>
            <xdr:cNvSpPr/>
          </xdr:nvSpPr>
          <xdr:spPr>
            <a:xfrm>
              <a:off x="2216189" y="2081752"/>
              <a:ext cx="1845224" cy="900956"/>
            </a:xfrm>
            <a:prstGeom prst="rect">
              <a:avLst/>
            </a:prstGeom>
            <a:solidFill>
              <a:schemeClr val="bg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UNIQUE</a:t>
              </a:r>
              <a:r>
                <a:rPr lang="en-US" sz="1100" b="1" baseline="0">
                  <a:solidFill>
                    <a:schemeClr val="tx1"/>
                  </a:solidFill>
                </a:rPr>
                <a:t> GENRE</a:t>
              </a:r>
              <a:br>
                <a:rPr lang="en-US" sz="1100" b="1" baseline="0">
                  <a:solidFill>
                    <a:schemeClr val="tx1"/>
                  </a:solidFill>
                </a:rPr>
              </a:br>
              <a:r>
                <a:rPr lang="en-US" sz="3600" b="1" baseline="0">
                  <a:solidFill>
                    <a:schemeClr val="accent2"/>
                  </a:solidFill>
                </a:rPr>
                <a:t>11</a:t>
              </a:r>
              <a:endParaRPr lang="en-US" sz="3600" b="1">
                <a:solidFill>
                  <a:schemeClr val="accent2"/>
                </a:solidFill>
              </a:endParaRPr>
            </a:p>
          </xdr:txBody>
        </xdr:sp>
        <xdr:graphicFrame macro="">
          <xdr:nvGraphicFramePr>
            <xdr:cNvPr id="9" name="Chart 8">
              <a:extLst>
                <a:ext uri="{FF2B5EF4-FFF2-40B4-BE49-F238E27FC236}">
                  <a16:creationId xmlns:a16="http://schemas.microsoft.com/office/drawing/2014/main" id="{F56EF384-B6AC-48EE-A50A-A1CF6336A40F}"/>
                </a:ext>
              </a:extLst>
            </xdr:cNvPr>
            <xdr:cNvGraphicFramePr>
              <a:graphicFrameLocks/>
            </xdr:cNvGraphicFramePr>
          </xdr:nvGraphicFramePr>
          <xdr:xfrm>
            <a:off x="4159317" y="1093258"/>
            <a:ext cx="5035695" cy="26543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9">
              <a:extLst>
                <a:ext uri="{FF2B5EF4-FFF2-40B4-BE49-F238E27FC236}">
                  <a16:creationId xmlns:a16="http://schemas.microsoft.com/office/drawing/2014/main" id="{AFBDE446-AB4C-40EB-98B1-901B07AE5303}"/>
                </a:ext>
              </a:extLst>
            </xdr:cNvPr>
            <xdr:cNvGraphicFramePr>
              <a:graphicFrameLocks/>
            </xdr:cNvGraphicFramePr>
          </xdr:nvGraphicFramePr>
          <xdr:xfrm>
            <a:off x="368309" y="3112966"/>
            <a:ext cx="3699450" cy="334974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110906C8-54B5-4306-89CD-76C725959A02}"/>
                </a:ext>
              </a:extLst>
            </xdr:cNvPr>
            <xdr:cNvGraphicFramePr>
              <a:graphicFrameLocks/>
            </xdr:cNvGraphicFramePr>
          </xdr:nvGraphicFramePr>
          <xdr:xfrm>
            <a:off x="4215345" y="3814656"/>
            <a:ext cx="7041989" cy="2662576"/>
          </xdr:xfrm>
          <a:graphic>
            <a:graphicData uri="http://schemas.openxmlformats.org/drawingml/2006/chart">
              <c:chart xmlns:c="http://schemas.openxmlformats.org/drawingml/2006/chart" xmlns:r="http://schemas.openxmlformats.org/officeDocument/2006/relationships" r:id="rId3"/>
            </a:graphicData>
          </a:graphic>
        </xdr:graphicFrame>
      </xdr:grpSp>
      <mc:AlternateContent xmlns:mc="http://schemas.openxmlformats.org/markup-compatibility/2006">
        <mc:Choice xmlns:a14="http://schemas.microsoft.com/office/drawing/2010/main" Requires="a14">
          <xdr:graphicFrame macro="">
            <xdr:nvGraphicFramePr>
              <xdr:cNvPr id="14" name="Genre  1">
                <a:extLst>
                  <a:ext uri="{FF2B5EF4-FFF2-40B4-BE49-F238E27FC236}">
                    <a16:creationId xmlns:a16="http://schemas.microsoft.com/office/drawing/2014/main" id="{B2D13E7E-84CD-44C7-A225-3314ED942FE9}"/>
                  </a:ext>
                </a:extLst>
              </xdr:cNvPr>
              <xdr:cNvGraphicFramePr/>
            </xdr:nvGraphicFramePr>
            <xdr:xfrm>
              <a:off x="15322550" y="5448300"/>
              <a:ext cx="2504017" cy="1227667"/>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13607865" y="5818113"/>
                <a:ext cx="2480428" cy="1238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Publication Year 1">
                <a:extLst>
                  <a:ext uri="{FF2B5EF4-FFF2-40B4-BE49-F238E27FC236}">
                    <a16:creationId xmlns:a16="http://schemas.microsoft.com/office/drawing/2014/main" id="{3E88B5B3-A34F-44AE-AC18-4ABF7ECFBA99}"/>
                  </a:ext>
                </a:extLst>
              </xdr:cNvPr>
              <xdr:cNvGraphicFramePr/>
            </xdr:nvGraphicFramePr>
            <xdr:xfrm>
              <a:off x="15322550" y="4072467"/>
              <a:ext cx="2484967" cy="1278466"/>
            </xdr:xfrm>
            <a:graphic>
              <a:graphicData uri="http://schemas.microsoft.com/office/drawing/2010/slicer">
                <sle:slicer xmlns:sle="http://schemas.microsoft.com/office/drawing/2010/slicer" name="Publication Year 1"/>
              </a:graphicData>
            </a:graphic>
          </xdr:graphicFrame>
        </mc:Choice>
        <mc:Fallback>
          <xdr:sp macro="" textlink="">
            <xdr:nvSpPr>
              <xdr:cNvPr id="0" name=""/>
              <xdr:cNvSpPr>
                <a:spLocks noTextEdit="1"/>
              </xdr:cNvSpPr>
            </xdr:nvSpPr>
            <xdr:spPr>
              <a:xfrm>
                <a:off x="13607865" y="4430679"/>
                <a:ext cx="2461557" cy="128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0" name="Chart 19">
            <a:extLst>
              <a:ext uri="{FF2B5EF4-FFF2-40B4-BE49-F238E27FC236}">
                <a16:creationId xmlns:a16="http://schemas.microsoft.com/office/drawing/2014/main" id="{485B0B77-6F45-4C8D-9A5E-90ADD0407398}"/>
              </a:ext>
            </a:extLst>
          </xdr:cNvPr>
          <xdr:cNvGraphicFramePr>
            <a:graphicFrameLocks/>
          </xdr:cNvGraphicFramePr>
        </xdr:nvGraphicFramePr>
        <xdr:xfrm>
          <a:off x="13225462" y="1427691"/>
          <a:ext cx="4588405" cy="258127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3.493888657409" createdVersion="8" refreshedVersion="8" minRefreshableVersion="3" recordCount="25" xr:uid="{0DE258B7-1C8F-436E-92C6-6B367666A4C5}">
  <cacheSource type="worksheet">
    <worksheetSource name="Book_Store_Table"/>
  </cacheSource>
  <cacheFields count="8">
    <cacheField name="Book ID" numFmtId="0">
      <sharedItems count="25">
        <s v="BK001"/>
        <s v="BK002"/>
        <s v="BK003"/>
        <s v="BK004"/>
        <s v="BK005"/>
        <s v="BK006"/>
        <s v="BK007"/>
        <s v="BK008"/>
        <s v="BK009"/>
        <s v="BK010"/>
        <s v="BK011"/>
        <s v="BK012"/>
        <s v="BK013"/>
        <s v="BK014"/>
        <s v="BK015"/>
        <s v="BK016"/>
        <s v="BK017"/>
        <s v="BK018"/>
        <s v="BK019"/>
        <s v="BK020"/>
        <s v="BK021"/>
        <s v="BK022"/>
        <s v="BK023"/>
        <s v="BK024"/>
        <s v="BK025"/>
      </sharedItems>
    </cacheField>
    <cacheField name="Title" numFmtId="49">
      <sharedItems containsMixedTypes="1" containsNumber="1" containsInteger="1" minValue="1984" maxValue="1984" count="25">
        <s v="The Hitchhiker's Guide to the Galaxy"/>
        <s v="Pride and Prejudice"/>
        <s v="Sapiens: A Brief History of Humankind"/>
        <n v="1984"/>
        <s v="The Lord of the Rings"/>
        <s v="The Catcher in the Rye"/>
        <s v="Atomic Habits"/>
        <s v="The Silent Patient"/>
        <s v="Dune"/>
        <s v="Educated"/>
        <s v="The Psychology of Money"/>
        <s v="The Midnight Library"/>
        <s v="Where the Crawdads Sing"/>
        <s v="The Book Thief"/>
        <s v="The Alchemist"/>
        <s v="Thinking Fast and Slow"/>
        <s v="The Girl with the Dragon Tattoo"/>
        <s v="The Road"/>
        <s v="The Lean Startup"/>
        <s v="The Power of Now"/>
        <s v="The Name of the Wind"/>
        <s v="The Immortal Life of Henrietta Lacks"/>
        <s v="The Martian"/>
        <s v="The Nightingale"/>
        <s v="The Five People You Meet in Heaven"/>
      </sharedItems>
    </cacheField>
    <cacheField name="Author" numFmtId="49">
      <sharedItems count="25">
        <s v="Douglas Adams"/>
        <s v="Jane Austen"/>
        <s v="Yuval Noah Harari"/>
        <s v="George Orwell"/>
        <s v="J.R.R. Tolkien"/>
        <s v="J.D. Salinger"/>
        <s v="James Clear"/>
        <s v="Alex Michaelides"/>
        <s v="Frank Herbert"/>
        <s v="Tara Westover"/>
        <s v="Morgan Housel"/>
        <s v="Matt Haig"/>
        <s v="Delia Owens"/>
        <s v="Markus Zusak"/>
        <s v="Paulo Coelho"/>
        <s v="Daniel Kahneman"/>
        <s v="Stieg Larsson"/>
        <s v="Cormac McCarthy"/>
        <s v="Eric Ries"/>
        <s v="Eckhart Tolle"/>
        <s v="Patrick Rothfuss"/>
        <s v="Rebecca Skloot"/>
        <s v="Andy Weir"/>
        <s v="Kristin Hannah"/>
        <s v="Mitch Albom"/>
      </sharedItems>
    </cacheField>
    <cacheField name="Genre " numFmtId="49">
      <sharedItems count="11">
        <s v="Sci-Fi"/>
        <s v="Fiction"/>
        <s v="Non-Fiction"/>
        <s v="Fantasy"/>
        <s v="Self-Help"/>
        <s v="Mystery"/>
        <s v="Biography"/>
        <s v="Finance"/>
        <s v="Historical Fiction"/>
        <s v="Psychology"/>
        <s v="Business"/>
      </sharedItems>
    </cacheField>
    <cacheField name="Publication Year" numFmtId="0">
      <sharedItems containsSemiMixedTypes="0" containsString="0" containsNumber="1" containsInteger="1" minValue="1813" maxValue="2020" count="19">
        <n v="1979"/>
        <n v="1813"/>
        <n v="2014"/>
        <n v="1949"/>
        <n v="1954"/>
        <n v="1951"/>
        <n v="2018"/>
        <n v="2019"/>
        <n v="1965"/>
        <n v="2020"/>
        <n v="2005"/>
        <n v="1988"/>
        <n v="2011"/>
        <n v="2006"/>
        <n v="1997"/>
        <n v="2007"/>
        <n v="2010"/>
        <n v="2015"/>
        <n v="2003"/>
      </sharedItems>
    </cacheField>
    <cacheField name="Price" numFmtId="164">
      <sharedItems containsSemiMixedTypes="0" containsString="0" containsNumber="1" minValue="9.5" maxValue="25"/>
    </cacheField>
    <cacheField name="Stock Quantity" numFmtId="0">
      <sharedItems containsSemiMixedTypes="0" containsString="0" containsNumber="1" containsInteger="1" minValue="8" maxValue="40"/>
    </cacheField>
    <cacheField name="Revenue" numFmtId="164">
      <sharedItems containsSemiMixedTypes="0" containsString="0" containsNumber="1" minValue="102" maxValue="620"/>
    </cacheField>
  </cacheFields>
  <extLst>
    <ext xmlns:x14="http://schemas.microsoft.com/office/spreadsheetml/2009/9/main" uri="{725AE2AE-9491-48be-B2B4-4EB974FC3084}">
      <x14:pivotCacheDefinition pivotCacheId="8646130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4.450989930556" backgroundQuery="1" createdVersion="8" refreshedVersion="8" minRefreshableVersion="3" recordCount="0" supportSubquery="1" supportAdvancedDrill="1" xr:uid="{D7BA955D-46FE-4E88-A942-06876BF9031D}">
  <cacheSource type="external" connectionId="1"/>
  <cacheFields count="2">
    <cacheField name="[Book_Store_Table].[Genre].[Genre]" caption="Genre" numFmtId="0" hierarchy="3" level="1">
      <sharedItems count="11">
        <s v="Biography"/>
        <s v="Business"/>
        <s v="Fantasy"/>
        <s v="Fiction"/>
        <s v="Finance"/>
        <s v="Historical Fiction"/>
        <s v="Mystery"/>
        <s v="Non-Fiction"/>
        <s v="Psychology"/>
        <s v="Sci-Fi"/>
        <s v="Self-Help"/>
      </sharedItems>
    </cacheField>
    <cacheField name="[Measures].[Distinct Count of Genre]" caption="Distinct Count of Genre" numFmtId="0" hierarchy="11" level="32767"/>
  </cacheFields>
  <cacheHierarchies count="12">
    <cacheHierarchy uniqueName="[Book_Store_Table].[Book ID]" caption="Book ID" attribute="1" defaultMemberUniqueName="[Book_Store_Table].[Book ID].[All]" allUniqueName="[Book_Store_Table].[Book ID].[All]" dimensionUniqueName="[Book_Store_Table]" displayFolder="" count="0" memberValueDatatype="130" unbalanced="0"/>
    <cacheHierarchy uniqueName="[Book_Store_Table].[Title]" caption="Title" attribute="1" defaultMemberUniqueName="[Book_Store_Table].[Title].[All]" allUniqueName="[Book_Store_Table].[Title].[All]" dimensionUniqueName="[Book_Store_Table]" displayFolder="" count="0" memberValueDatatype="130" unbalanced="0"/>
    <cacheHierarchy uniqueName="[Book_Store_Table].[Author]" caption="Author" attribute="1" defaultMemberUniqueName="[Book_Store_Table].[Author].[All]" allUniqueName="[Book_Store_Table].[Author].[All]" dimensionUniqueName="[Book_Store_Table]" displayFolder="" count="0" memberValueDatatype="130" unbalanced="0"/>
    <cacheHierarchy uniqueName="[Book_Store_Table].[Genre]" caption="Genre" attribute="1" defaultMemberUniqueName="[Book_Store_Table].[Genre].[All]" allUniqueName="[Book_Store_Table].[Genre].[All]" dimensionUniqueName="[Book_Store_Table]" displayFolder="" count="2" memberValueDatatype="130" unbalanced="0">
      <fieldsUsage count="2">
        <fieldUsage x="-1"/>
        <fieldUsage x="0"/>
      </fieldsUsage>
    </cacheHierarchy>
    <cacheHierarchy uniqueName="[Book_Store_Table].[Publication Year]" caption="Publication Year" attribute="1" defaultMemberUniqueName="[Book_Store_Table].[Publication Year].[All]" allUniqueName="[Book_Store_Table].[Publication Year].[All]" dimensionUniqueName="[Book_Store_Table]" displayFolder="" count="0" memberValueDatatype="20" unbalanced="0"/>
    <cacheHierarchy uniqueName="[Book_Store_Table].[Price]" caption="Price" attribute="1" defaultMemberUniqueName="[Book_Store_Table].[Price].[All]" allUniqueName="[Book_Store_Table].[Price].[All]" dimensionUniqueName="[Book_Store_Table]" displayFolder="" count="0" memberValueDatatype="5" unbalanced="0"/>
    <cacheHierarchy uniqueName="[Book_Store_Table].[Stock Quantity]" caption="Stock Quantity" attribute="1" defaultMemberUniqueName="[Book_Store_Table].[Stock Quantity].[All]" allUniqueName="[Book_Store_Table].[Stock Quantity].[All]" dimensionUniqueName="[Book_Store_Table]" displayFolder="" count="0" memberValueDatatype="20" unbalanced="0"/>
    <cacheHierarchy uniqueName="[Book_Store_Table].[Revenue]" caption="Revenue" attribute="1" defaultMemberUniqueName="[Book_Store_Table].[Revenue].[All]" allUniqueName="[Book_Store_Table].[Revenue].[All]" dimensionUniqueName="[Book_Store_Table]" displayFolder="" count="0" memberValueDatatype="5" unbalanced="0"/>
    <cacheHierarchy uniqueName="[Measures].[__XL_Count Book_Store_Table]" caption="__XL_Count Book_Store_Table" measure="1" displayFolder="" measureGroup="Book_Store_Table" count="0" hidden="1"/>
    <cacheHierarchy uniqueName="[Measures].[__No measures defined]" caption="__No measures defined" measure="1" displayFolder="" count="0" hidden="1"/>
    <cacheHierarchy uniqueName="[Measures].[Count of Genre]" caption="Count of Genre" measure="1" displayFolder="" measureGroup="Book_Store_Table" count="0" hidden="1">
      <extLst>
        <ext xmlns:x15="http://schemas.microsoft.com/office/spreadsheetml/2010/11/main" uri="{B97F6D7D-B522-45F9-BDA1-12C45D357490}">
          <x15:cacheHierarchy aggregatedColumn="3"/>
        </ext>
      </extLst>
    </cacheHierarchy>
    <cacheHierarchy uniqueName="[Measures].[Distinct Count of Genre]" caption="Distinct Count of Genre" measure="1" displayFolder="" measureGroup="Book_Store_Tabl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name="Book_Store_Table" uniqueName="[Book_Store_Table]" caption="Book_Store_Table"/>
    <dimension measure="1" name="Measures" uniqueName="[Measures]" caption="Measures"/>
  </dimensions>
  <measureGroups count="1">
    <measureGroup name="Book_Store_Table" caption="Book_Store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n v="12.99"/>
    <n v="25"/>
    <n v="324.75"/>
  </r>
  <r>
    <x v="1"/>
    <x v="1"/>
    <x v="1"/>
    <x v="1"/>
    <x v="1"/>
    <n v="9.5"/>
    <n v="15"/>
    <n v="142.5"/>
  </r>
  <r>
    <x v="2"/>
    <x v="2"/>
    <x v="2"/>
    <x v="2"/>
    <x v="2"/>
    <n v="18.75"/>
    <n v="30"/>
    <n v="562.5"/>
  </r>
  <r>
    <x v="3"/>
    <x v="3"/>
    <x v="3"/>
    <x v="1"/>
    <x v="3"/>
    <n v="10.199999999999999"/>
    <n v="10"/>
    <n v="102"/>
  </r>
  <r>
    <x v="4"/>
    <x v="4"/>
    <x v="4"/>
    <x v="3"/>
    <x v="4"/>
    <n v="25"/>
    <n v="8"/>
    <n v="200"/>
  </r>
  <r>
    <x v="5"/>
    <x v="5"/>
    <x v="5"/>
    <x v="1"/>
    <x v="5"/>
    <n v="11.8"/>
    <n v="22"/>
    <n v="259.60000000000002"/>
  </r>
  <r>
    <x v="6"/>
    <x v="6"/>
    <x v="6"/>
    <x v="4"/>
    <x v="6"/>
    <n v="15.5"/>
    <n v="40"/>
    <n v="620"/>
  </r>
  <r>
    <x v="7"/>
    <x v="7"/>
    <x v="7"/>
    <x v="5"/>
    <x v="7"/>
    <n v="13.99"/>
    <n v="18"/>
    <n v="251.82"/>
  </r>
  <r>
    <x v="8"/>
    <x v="8"/>
    <x v="8"/>
    <x v="0"/>
    <x v="8"/>
    <n v="16.25"/>
    <n v="12"/>
    <n v="195"/>
  </r>
  <r>
    <x v="9"/>
    <x v="9"/>
    <x v="9"/>
    <x v="6"/>
    <x v="6"/>
    <n v="17"/>
    <n v="28"/>
    <n v="476"/>
  </r>
  <r>
    <x v="10"/>
    <x v="10"/>
    <x v="10"/>
    <x v="7"/>
    <x v="9"/>
    <n v="14.5"/>
    <n v="35"/>
    <n v="507.5"/>
  </r>
  <r>
    <x v="11"/>
    <x v="11"/>
    <x v="11"/>
    <x v="1"/>
    <x v="9"/>
    <n v="12.75"/>
    <n v="20"/>
    <n v="255"/>
  </r>
  <r>
    <x v="12"/>
    <x v="12"/>
    <x v="12"/>
    <x v="5"/>
    <x v="6"/>
    <n v="14"/>
    <n v="25"/>
    <n v="350"/>
  </r>
  <r>
    <x v="13"/>
    <x v="13"/>
    <x v="13"/>
    <x v="8"/>
    <x v="10"/>
    <n v="11"/>
    <n v="16"/>
    <n v="176"/>
  </r>
  <r>
    <x v="14"/>
    <x v="14"/>
    <x v="14"/>
    <x v="1"/>
    <x v="11"/>
    <n v="9.99"/>
    <n v="30"/>
    <n v="299.7"/>
  </r>
  <r>
    <x v="15"/>
    <x v="15"/>
    <x v="15"/>
    <x v="9"/>
    <x v="12"/>
    <n v="19.95"/>
    <n v="14"/>
    <n v="279.3"/>
  </r>
  <r>
    <x v="16"/>
    <x v="16"/>
    <x v="16"/>
    <x v="5"/>
    <x v="10"/>
    <n v="12.5"/>
    <n v="22"/>
    <n v="275"/>
  </r>
  <r>
    <x v="17"/>
    <x v="17"/>
    <x v="17"/>
    <x v="1"/>
    <x v="13"/>
    <n v="10.75"/>
    <n v="18"/>
    <n v="193.5"/>
  </r>
  <r>
    <x v="18"/>
    <x v="18"/>
    <x v="18"/>
    <x v="10"/>
    <x v="12"/>
    <n v="16.5"/>
    <n v="15"/>
    <n v="247.5"/>
  </r>
  <r>
    <x v="19"/>
    <x v="19"/>
    <x v="19"/>
    <x v="4"/>
    <x v="14"/>
    <n v="13"/>
    <n v="28"/>
    <n v="364"/>
  </r>
  <r>
    <x v="20"/>
    <x v="20"/>
    <x v="20"/>
    <x v="3"/>
    <x v="15"/>
    <n v="17.25"/>
    <n v="10"/>
    <n v="172.5"/>
  </r>
  <r>
    <x v="21"/>
    <x v="21"/>
    <x v="21"/>
    <x v="2"/>
    <x v="16"/>
    <n v="15.8"/>
    <n v="20"/>
    <n v="316"/>
  </r>
  <r>
    <x v="22"/>
    <x v="22"/>
    <x v="22"/>
    <x v="0"/>
    <x v="12"/>
    <n v="14.75"/>
    <n v="30"/>
    <n v="442.5"/>
  </r>
  <r>
    <x v="23"/>
    <x v="23"/>
    <x v="23"/>
    <x v="8"/>
    <x v="17"/>
    <n v="13.5"/>
    <n v="25"/>
    <n v="337.5"/>
  </r>
  <r>
    <x v="24"/>
    <x v="24"/>
    <x v="24"/>
    <x v="1"/>
    <x v="18"/>
    <n v="10.5"/>
    <n v="18"/>
    <n v="1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1D22C0-CEFF-442A-8AB4-5459FDD16F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8">
    <pivotField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12">
        <item x="6"/>
        <item x="10"/>
        <item x="3"/>
        <item x="1"/>
        <item x="7"/>
        <item x="8"/>
        <item x="5"/>
        <item x="2"/>
        <item x="9"/>
        <item x="0"/>
        <item x="4"/>
        <item t="default"/>
      </items>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showAll="0"/>
    <pivotField numFmtId="164" showAll="0"/>
  </pivotFields>
  <rowItems count="1">
    <i/>
  </rowItems>
  <colItems count="1">
    <i/>
  </colItems>
  <dataFields count="1">
    <dataField name="Count of Book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035431-E707-4D42-8592-FCFA8916BEC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74" firstHeaderRow="1" firstDataRow="1" firstDataCol="1"/>
  <pivotFields count="2">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Distinct Count of Genre" fld="1" subtotal="count" baseField="0" baseItem="0">
      <extLst>
        <ext xmlns:x15="http://schemas.microsoft.com/office/spreadsheetml/2010/11/main" uri="{FABC7310-3BB5-11E1-824E-6D434824019B}">
          <x15:dataField isCountDistinct="1"/>
        </ext>
      </extLst>
    </dataField>
  </dataField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enr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0Inventory%20dataset (version 1).xlsb!Book_Store_Table">
        <x15:activeTabTopLevelEntity name="[Book_Stor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FAD47-A529-425F-BA66-77870C444BD0}"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2:B58" firstHeaderRow="1" firstDataRow="1" firstDataCol="1"/>
  <pivotFields count="8">
    <pivotField showAll="0"/>
    <pivotField axis="axisRow" showAll="0" sortType="descending">
      <items count="26">
        <item x="3"/>
        <item x="6"/>
        <item x="8"/>
        <item x="9"/>
        <item x="1"/>
        <item x="2"/>
        <item x="14"/>
        <item x="13"/>
        <item x="5"/>
        <item x="24"/>
        <item x="16"/>
        <item x="0"/>
        <item x="21"/>
        <item x="18"/>
        <item x="4"/>
        <item x="22"/>
        <item x="11"/>
        <item x="20"/>
        <item x="23"/>
        <item x="19"/>
        <item x="10"/>
        <item x="17"/>
        <item x="7"/>
        <item x="15"/>
        <item x="12"/>
        <item t="default"/>
      </items>
      <autoSortScope>
        <pivotArea dataOnly="0" outline="0" fieldPosition="0">
          <references count="1">
            <reference field="4294967294" count="1" selected="0">
              <x v="0"/>
            </reference>
          </references>
        </pivotArea>
      </autoSortScope>
    </pivotField>
    <pivotField showAll="0">
      <items count="26">
        <item x="7"/>
        <item x="22"/>
        <item x="17"/>
        <item x="15"/>
        <item x="12"/>
        <item x="0"/>
        <item x="19"/>
        <item x="18"/>
        <item x="8"/>
        <item x="3"/>
        <item x="5"/>
        <item x="4"/>
        <item x="6"/>
        <item x="1"/>
        <item x="23"/>
        <item x="13"/>
        <item x="11"/>
        <item x="24"/>
        <item x="10"/>
        <item x="20"/>
        <item x="14"/>
        <item x="21"/>
        <item x="16"/>
        <item x="9"/>
        <item x="2"/>
        <item t="default"/>
      </items>
    </pivotField>
    <pivotField showAll="0">
      <items count="12">
        <item x="6"/>
        <item x="10"/>
        <item x="3"/>
        <item x="1"/>
        <item x="7"/>
        <item x="8"/>
        <item x="5"/>
        <item x="2"/>
        <item x="9"/>
        <item x="0"/>
        <item x="4"/>
        <item t="default"/>
      </items>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dataField="1" showAll="0"/>
    <pivotField numFmtId="164" showAll="0"/>
  </pivotFields>
  <rowFields count="1">
    <field x="1"/>
  </rowFields>
  <rowItems count="26">
    <i>
      <x v="1"/>
    </i>
    <i>
      <x v="20"/>
    </i>
    <i>
      <x v="15"/>
    </i>
    <i>
      <x v="5"/>
    </i>
    <i>
      <x v="6"/>
    </i>
    <i>
      <x v="19"/>
    </i>
    <i>
      <x v="3"/>
    </i>
    <i>
      <x v="18"/>
    </i>
    <i>
      <x v="24"/>
    </i>
    <i>
      <x v="11"/>
    </i>
    <i>
      <x v="8"/>
    </i>
    <i>
      <x v="10"/>
    </i>
    <i>
      <x v="16"/>
    </i>
    <i>
      <x v="12"/>
    </i>
    <i>
      <x v="22"/>
    </i>
    <i>
      <x v="21"/>
    </i>
    <i>
      <x v="9"/>
    </i>
    <i>
      <x v="7"/>
    </i>
    <i>
      <x v="13"/>
    </i>
    <i>
      <x v="4"/>
    </i>
    <i>
      <x v="23"/>
    </i>
    <i>
      <x v="2"/>
    </i>
    <i>
      <x v="17"/>
    </i>
    <i>
      <x/>
    </i>
    <i>
      <x v="14"/>
    </i>
    <i t="grand">
      <x/>
    </i>
  </rowItems>
  <colItems count="1">
    <i/>
  </colItems>
  <dataFields count="1">
    <dataField name="Average of Stock Quantity" fld="6" subtotal="average"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2A904B-A0EF-4960-99B1-4DE64D5C9C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0" firstHeaderRow="1" firstDataRow="1" firstDataCol="1"/>
  <pivotFields count="8">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sortType="descending">
      <items count="26">
        <item x="3"/>
        <item x="6"/>
        <item x="8"/>
        <item x="9"/>
        <item x="1"/>
        <item x="2"/>
        <item x="14"/>
        <item x="13"/>
        <item x="5"/>
        <item x="24"/>
        <item x="16"/>
        <item x="0"/>
        <item x="21"/>
        <item x="18"/>
        <item x="4"/>
        <item x="22"/>
        <item x="11"/>
        <item x="20"/>
        <item x="23"/>
        <item x="19"/>
        <item x="10"/>
        <item x="17"/>
        <item x="7"/>
        <item x="15"/>
        <item x="12"/>
        <item t="default"/>
      </items>
      <autoSortScope>
        <pivotArea dataOnly="0" outline="0" fieldPosition="0">
          <references count="1">
            <reference field="4294967294" count="1" selected="0">
              <x v="0"/>
            </reference>
          </references>
        </pivotArea>
      </autoSortScope>
    </pivotField>
    <pivotField showAll="0"/>
    <pivotField showAll="0">
      <items count="12">
        <item x="6"/>
        <item x="10"/>
        <item x="3"/>
        <item x="1"/>
        <item x="7"/>
        <item x="8"/>
        <item x="5"/>
        <item x="2"/>
        <item x="9"/>
        <item x="0"/>
        <item x="4"/>
        <item t="default"/>
      </items>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showAll="0"/>
    <pivotField dataField="1" numFmtId="164" showAll="0"/>
  </pivotFields>
  <rowFields count="1">
    <field x="1"/>
  </rowFields>
  <rowItems count="26">
    <i>
      <x v="1"/>
    </i>
    <i>
      <x v="5"/>
    </i>
    <i>
      <x v="20"/>
    </i>
    <i>
      <x v="3"/>
    </i>
    <i>
      <x v="15"/>
    </i>
    <i>
      <x v="19"/>
    </i>
    <i>
      <x v="24"/>
    </i>
    <i>
      <x v="18"/>
    </i>
    <i>
      <x v="11"/>
    </i>
    <i>
      <x v="12"/>
    </i>
    <i>
      <x v="6"/>
    </i>
    <i>
      <x v="23"/>
    </i>
    <i>
      <x v="10"/>
    </i>
    <i>
      <x v="8"/>
    </i>
    <i>
      <x v="16"/>
    </i>
    <i>
      <x v="22"/>
    </i>
    <i>
      <x v="13"/>
    </i>
    <i>
      <x v="14"/>
    </i>
    <i>
      <x v="2"/>
    </i>
    <i>
      <x v="21"/>
    </i>
    <i>
      <x v="9"/>
    </i>
    <i>
      <x v="7"/>
    </i>
    <i>
      <x v="17"/>
    </i>
    <i>
      <x v="4"/>
    </i>
    <i>
      <x/>
    </i>
    <i t="grand">
      <x/>
    </i>
  </rowItems>
  <colItems count="1">
    <i/>
  </colItems>
  <dataFields count="1">
    <dataField name="Sum of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CD023-A48A-48FC-8770-0F981B4793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2" firstHeaderRow="1" firstDataRow="1" firstDataCol="1"/>
  <pivotFields count="8">
    <pivotField showAll="0"/>
    <pivotField axis="axisRow" showAll="0" measureFilter="1" sortType="descending">
      <items count="26">
        <item x="3"/>
        <item x="6"/>
        <item x="8"/>
        <item x="9"/>
        <item x="1"/>
        <item x="2"/>
        <item x="14"/>
        <item x="13"/>
        <item x="5"/>
        <item x="24"/>
        <item x="16"/>
        <item x="0"/>
        <item x="21"/>
        <item x="18"/>
        <item x="4"/>
        <item x="22"/>
        <item x="11"/>
        <item x="20"/>
        <item x="23"/>
        <item x="19"/>
        <item x="10"/>
        <item x="17"/>
        <item x="7"/>
        <item x="15"/>
        <item x="12"/>
        <item t="default"/>
      </items>
      <autoSortScope>
        <pivotArea dataOnly="0" outline="0" fieldPosition="0">
          <references count="1">
            <reference field="4294967294" count="1" selected="0">
              <x v="0"/>
            </reference>
          </references>
        </pivotArea>
      </autoSortScope>
    </pivotField>
    <pivotField showAll="0"/>
    <pivotField showAll="0">
      <items count="12">
        <item x="6"/>
        <item x="10"/>
        <item x="3"/>
        <item x="1"/>
        <item x="7"/>
        <item x="8"/>
        <item x="5"/>
        <item x="2"/>
        <item x="9"/>
        <item x="0"/>
        <item x="4"/>
        <item t="default"/>
      </items>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showAll="0"/>
    <pivotField dataField="1" numFmtId="164" showAll="0"/>
  </pivotFields>
  <rowFields count="1">
    <field x="1"/>
  </rowFields>
  <rowItems count="11">
    <i>
      <x v="1"/>
    </i>
    <i>
      <x v="5"/>
    </i>
    <i>
      <x v="20"/>
    </i>
    <i>
      <x v="3"/>
    </i>
    <i>
      <x v="15"/>
    </i>
    <i>
      <x v="19"/>
    </i>
    <i>
      <x v="24"/>
    </i>
    <i>
      <x v="18"/>
    </i>
    <i>
      <x v="11"/>
    </i>
    <i>
      <x v="12"/>
    </i>
    <i t="grand">
      <x/>
    </i>
  </rowItems>
  <colItems count="1">
    <i/>
  </colItems>
  <dataFields count="1">
    <dataField name="Sum of Revenue" fld="7" baseField="0" baseItem="0" numFmtId="164"/>
  </dataFields>
  <chartFormats count="9">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5"/>
          </reference>
        </references>
      </pivotArea>
    </chartFormat>
    <chartFormat chart="6" format="2">
      <pivotArea type="data" outline="0" fieldPosition="0">
        <references count="2">
          <reference field="4294967294" count="1" selected="0">
            <x v="0"/>
          </reference>
          <reference field="1" count="1" selected="0">
            <x v="1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5"/>
          </reference>
        </references>
      </pivotArea>
    </chartFormat>
    <chartFormat chart="12" format="8">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8A659A-7D2F-4777-8C85-3AF8A4A52F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13" firstHeaderRow="1" firstDataRow="1" firstDataCol="1"/>
  <pivotFields count="8">
    <pivotField showAll="0"/>
    <pivotField showAll="0"/>
    <pivotField showAll="0"/>
    <pivotField axis="axisRow" showAll="0" sortType="descending">
      <items count="12">
        <item x="6"/>
        <item x="10"/>
        <item x="3"/>
        <item x="1"/>
        <item x="7"/>
        <item x="8"/>
        <item x="5"/>
        <item x="2"/>
        <item x="9"/>
        <item x="0"/>
        <item x="4"/>
        <item t="default"/>
      </items>
      <autoSortScope>
        <pivotArea dataOnly="0" outline="0" fieldPosition="0">
          <references count="1">
            <reference field="4294967294" count="1" selected="0">
              <x v="0"/>
            </reference>
          </references>
        </pivotArea>
      </autoSortScope>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showAll="0"/>
    <pivotField dataField="1" numFmtId="164" showAll="0"/>
  </pivotFields>
  <rowFields count="1">
    <field x="3"/>
  </rowFields>
  <rowItems count="12">
    <i>
      <x v="3"/>
    </i>
    <i>
      <x v="10"/>
    </i>
    <i>
      <x v="9"/>
    </i>
    <i>
      <x v="7"/>
    </i>
    <i>
      <x v="6"/>
    </i>
    <i>
      <x v="5"/>
    </i>
    <i>
      <x v="4"/>
    </i>
    <i>
      <x/>
    </i>
    <i>
      <x v="2"/>
    </i>
    <i>
      <x v="8"/>
    </i>
    <i>
      <x v="1"/>
    </i>
    <i t="grand">
      <x/>
    </i>
  </rowItems>
  <colItems count="1">
    <i/>
  </colItems>
  <dataFields count="1">
    <dataField name="Sum of Revenue" fld="7" baseField="0" baseItem="0" numFmtId="164"/>
  </dataFields>
  <chartFormats count="27">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3" count="1" selected="0">
            <x v="1"/>
          </reference>
        </references>
      </pivotArea>
    </chartFormat>
    <chartFormat chart="1" format="13">
      <pivotArea type="data" outline="0" fieldPosition="0">
        <references count="2">
          <reference field="4294967294" count="1" selected="0">
            <x v="0"/>
          </reference>
          <reference field="3" count="1" selected="0">
            <x v="3"/>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3" count="1" selected="0">
            <x v="3"/>
          </reference>
        </references>
      </pivotArea>
    </chartFormat>
    <chartFormat chart="4" format="19">
      <pivotArea type="data" outline="0" fieldPosition="0">
        <references count="2">
          <reference field="4294967294" count="1" selected="0">
            <x v="0"/>
          </reference>
          <reference field="3" count="1" selected="0">
            <x v="1"/>
          </reference>
        </references>
      </pivotArea>
    </chartFormat>
    <chartFormat chart="1" format="14">
      <pivotArea type="data" outline="0" fieldPosition="0">
        <references count="2">
          <reference field="4294967294" count="1" selected="0">
            <x v="0"/>
          </reference>
          <reference field="3" count="1" selected="0">
            <x v="8"/>
          </reference>
        </references>
      </pivotArea>
    </chartFormat>
    <chartFormat chart="1" format="15">
      <pivotArea type="data" outline="0" fieldPosition="0">
        <references count="2">
          <reference field="4294967294" count="1" selected="0">
            <x v="0"/>
          </reference>
          <reference field="3" count="1" selected="0">
            <x v="9"/>
          </reference>
        </references>
      </pivotArea>
    </chartFormat>
    <chartFormat chart="1" format="16">
      <pivotArea type="data" outline="0" fieldPosition="0">
        <references count="2">
          <reference field="4294967294" count="1" selected="0">
            <x v="0"/>
          </reference>
          <reference field="3" count="1" selected="0">
            <x v="7"/>
          </reference>
        </references>
      </pivotArea>
    </chartFormat>
    <chartFormat chart="1" format="17">
      <pivotArea type="data" outline="0" fieldPosition="0">
        <references count="2">
          <reference field="4294967294" count="1" selected="0">
            <x v="0"/>
          </reference>
          <reference field="3" count="1" selected="0">
            <x v="6"/>
          </reference>
        </references>
      </pivotArea>
    </chartFormat>
    <chartFormat chart="1" format="18">
      <pivotArea type="data" outline="0" fieldPosition="0">
        <references count="2">
          <reference field="4294967294" count="1" selected="0">
            <x v="0"/>
          </reference>
          <reference field="3" count="1" selected="0">
            <x v="5"/>
          </reference>
        </references>
      </pivotArea>
    </chartFormat>
    <chartFormat chart="1" format="19">
      <pivotArea type="data" outline="0" fieldPosition="0">
        <references count="2">
          <reference field="4294967294" count="1" selected="0">
            <x v="0"/>
          </reference>
          <reference field="3" count="1" selected="0">
            <x v="4"/>
          </reference>
        </references>
      </pivotArea>
    </chartFormat>
    <chartFormat chart="1" format="20">
      <pivotArea type="data" outline="0" fieldPosition="0">
        <references count="2">
          <reference field="4294967294" count="1" selected="0">
            <x v="0"/>
          </reference>
          <reference field="3" count="1" selected="0">
            <x v="0"/>
          </reference>
        </references>
      </pivotArea>
    </chartFormat>
    <chartFormat chart="1" format="21">
      <pivotArea type="data" outline="0" fieldPosition="0">
        <references count="2">
          <reference field="4294967294" count="1" selected="0">
            <x v="0"/>
          </reference>
          <reference field="3" count="1" selected="0">
            <x v="2"/>
          </reference>
        </references>
      </pivotArea>
    </chartFormat>
    <chartFormat chart="12" format="34" series="1">
      <pivotArea type="data" outline="0" fieldPosition="0">
        <references count="1">
          <reference field="4294967294" count="1" selected="0">
            <x v="0"/>
          </reference>
        </references>
      </pivotArea>
    </chartFormat>
    <chartFormat chart="12" format="35">
      <pivotArea type="data" outline="0" fieldPosition="0">
        <references count="2">
          <reference field="4294967294" count="1" selected="0">
            <x v="0"/>
          </reference>
          <reference field="3" count="1" selected="0">
            <x v="3"/>
          </reference>
        </references>
      </pivotArea>
    </chartFormat>
    <chartFormat chart="12" format="36">
      <pivotArea type="data" outline="0" fieldPosition="0">
        <references count="2">
          <reference field="4294967294" count="1" selected="0">
            <x v="0"/>
          </reference>
          <reference field="3" count="1" selected="0">
            <x v="10"/>
          </reference>
        </references>
      </pivotArea>
    </chartFormat>
    <chartFormat chart="12" format="37">
      <pivotArea type="data" outline="0" fieldPosition="0">
        <references count="2">
          <reference field="4294967294" count="1" selected="0">
            <x v="0"/>
          </reference>
          <reference field="3" count="1" selected="0">
            <x v="9"/>
          </reference>
        </references>
      </pivotArea>
    </chartFormat>
    <chartFormat chart="12" format="38">
      <pivotArea type="data" outline="0" fieldPosition="0">
        <references count="2">
          <reference field="4294967294" count="1" selected="0">
            <x v="0"/>
          </reference>
          <reference field="3" count="1" selected="0">
            <x v="7"/>
          </reference>
        </references>
      </pivotArea>
    </chartFormat>
    <chartFormat chart="12" format="39">
      <pivotArea type="data" outline="0" fieldPosition="0">
        <references count="2">
          <reference field="4294967294" count="1" selected="0">
            <x v="0"/>
          </reference>
          <reference field="3" count="1" selected="0">
            <x v="6"/>
          </reference>
        </references>
      </pivotArea>
    </chartFormat>
    <chartFormat chart="12" format="40">
      <pivotArea type="data" outline="0" fieldPosition="0">
        <references count="2">
          <reference field="4294967294" count="1" selected="0">
            <x v="0"/>
          </reference>
          <reference field="3" count="1" selected="0">
            <x v="5"/>
          </reference>
        </references>
      </pivotArea>
    </chartFormat>
    <chartFormat chart="12" format="41">
      <pivotArea type="data" outline="0" fieldPosition="0">
        <references count="2">
          <reference field="4294967294" count="1" selected="0">
            <x v="0"/>
          </reference>
          <reference field="3" count="1" selected="0">
            <x v="4"/>
          </reference>
        </references>
      </pivotArea>
    </chartFormat>
    <chartFormat chart="12" format="42">
      <pivotArea type="data" outline="0" fieldPosition="0">
        <references count="2">
          <reference field="4294967294" count="1" selected="0">
            <x v="0"/>
          </reference>
          <reference field="3" count="1" selected="0">
            <x v="0"/>
          </reference>
        </references>
      </pivotArea>
    </chartFormat>
    <chartFormat chart="12" format="43">
      <pivotArea type="data" outline="0" fieldPosition="0">
        <references count="2">
          <reference field="4294967294" count="1" selected="0">
            <x v="0"/>
          </reference>
          <reference field="3" count="1" selected="0">
            <x v="2"/>
          </reference>
        </references>
      </pivotArea>
    </chartFormat>
    <chartFormat chart="12" format="44">
      <pivotArea type="data" outline="0" fieldPosition="0">
        <references count="2">
          <reference field="4294967294" count="1" selected="0">
            <x v="0"/>
          </reference>
          <reference field="3" count="1" selected="0">
            <x v="8"/>
          </reference>
        </references>
      </pivotArea>
    </chartFormat>
    <chartFormat chart="12" format="45">
      <pivotArea type="data" outline="0" fieldPosition="0">
        <references count="2">
          <reference field="4294967294" count="1" selected="0">
            <x v="0"/>
          </reference>
          <reference field="3" count="1" selected="0">
            <x v="1"/>
          </reference>
        </references>
      </pivotArea>
    </chartFormat>
    <chartFormat chart="1" format="22">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BC455F-1A69-43A1-A3BA-732890F979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13" firstHeaderRow="1" firstDataRow="1" firstDataCol="1"/>
  <pivotFields count="8">
    <pivotField showAll="0"/>
    <pivotField showAll="0"/>
    <pivotField axis="axisRow" showAll="0" measureFilter="1" sortType="descending">
      <items count="26">
        <item x="7"/>
        <item x="22"/>
        <item x="17"/>
        <item x="15"/>
        <item x="12"/>
        <item x="0"/>
        <item x="19"/>
        <item x="18"/>
        <item x="8"/>
        <item x="3"/>
        <item x="5"/>
        <item x="4"/>
        <item x="6"/>
        <item x="1"/>
        <item x="23"/>
        <item x="13"/>
        <item x="11"/>
        <item x="24"/>
        <item x="10"/>
        <item x="20"/>
        <item x="14"/>
        <item x="21"/>
        <item x="16"/>
        <item x="9"/>
        <item x="2"/>
        <item t="default"/>
      </items>
      <autoSortScope>
        <pivotArea dataOnly="0" outline="0" fieldPosition="0">
          <references count="1">
            <reference field="4294967294" count="1" selected="0">
              <x v="0"/>
            </reference>
          </references>
        </pivotArea>
      </autoSortScope>
    </pivotField>
    <pivotField showAll="0">
      <items count="12">
        <item x="6"/>
        <item x="10"/>
        <item x="3"/>
        <item x="1"/>
        <item x="7"/>
        <item x="8"/>
        <item x="5"/>
        <item x="2"/>
        <item x="9"/>
        <item x="0"/>
        <item x="4"/>
        <item t="default"/>
      </items>
    </pivotField>
    <pivotField showAll="0">
      <items count="20">
        <item x="1"/>
        <item x="3"/>
        <item x="5"/>
        <item x="4"/>
        <item x="8"/>
        <item x="0"/>
        <item x="11"/>
        <item x="14"/>
        <item x="18"/>
        <item x="10"/>
        <item x="13"/>
        <item x="15"/>
        <item x="16"/>
        <item x="12"/>
        <item x="2"/>
        <item x="17"/>
        <item x="6"/>
        <item x="7"/>
        <item x="9"/>
        <item t="default"/>
      </items>
    </pivotField>
    <pivotField numFmtId="164" showAll="0"/>
    <pivotField showAll="0"/>
    <pivotField dataField="1" numFmtId="164" showAll="0"/>
  </pivotFields>
  <rowFields count="1">
    <field x="2"/>
  </rowFields>
  <rowItems count="11">
    <i>
      <x v="12"/>
    </i>
    <i>
      <x v="24"/>
    </i>
    <i>
      <x v="18"/>
    </i>
    <i>
      <x v="23"/>
    </i>
    <i>
      <x v="1"/>
    </i>
    <i>
      <x v="6"/>
    </i>
    <i>
      <x v="4"/>
    </i>
    <i>
      <x v="14"/>
    </i>
    <i>
      <x v="5"/>
    </i>
    <i>
      <x v="21"/>
    </i>
    <i t="grand">
      <x/>
    </i>
  </rowItems>
  <colItems count="1">
    <i/>
  </colItems>
  <dataFields count="1">
    <dataField name="Sum of Revenue" fld="7" baseField="0" baseItem="0" numFmtId="164"/>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2"/>
          </reference>
        </references>
      </pivotArea>
    </chartFormat>
    <chartFormat chart="1" format="2">
      <pivotArea type="data" outline="0" fieldPosition="0">
        <references count="2">
          <reference field="4294967294" count="1" selected="0">
            <x v="0"/>
          </reference>
          <reference field="2" count="1" selected="0">
            <x v="2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12"/>
          </reference>
        </references>
      </pivotArea>
    </chartFormat>
    <chartFormat chart="6" format="8">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604CAF-0FFF-4843-AA03-CD6BF489BA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21" firstHeaderRow="1" firstDataRow="1" firstDataCol="1"/>
  <pivotFields count="8">
    <pivotField showAll="0"/>
    <pivotField showAll="0">
      <items count="26">
        <item x="3"/>
        <item x="6"/>
        <item x="8"/>
        <item x="9"/>
        <item x="1"/>
        <item x="2"/>
        <item x="14"/>
        <item x="13"/>
        <item x="5"/>
        <item x="24"/>
        <item x="16"/>
        <item x="0"/>
        <item x="21"/>
        <item x="18"/>
        <item x="4"/>
        <item x="22"/>
        <item x="11"/>
        <item x="20"/>
        <item x="23"/>
        <item x="19"/>
        <item x="10"/>
        <item x="17"/>
        <item x="7"/>
        <item x="15"/>
        <item x="12"/>
        <item t="default"/>
      </items>
    </pivotField>
    <pivotField showAll="0"/>
    <pivotField showAll="0">
      <items count="12">
        <item x="6"/>
        <item x="10"/>
        <item x="3"/>
        <item x="1"/>
        <item x="7"/>
        <item x="8"/>
        <item x="5"/>
        <item x="2"/>
        <item x="9"/>
        <item x="0"/>
        <item x="4"/>
        <item t="default"/>
      </items>
    </pivotField>
    <pivotField axis="axisRow" showAll="0" sortType="ascending">
      <items count="20">
        <item x="1"/>
        <item x="3"/>
        <item x="5"/>
        <item x="4"/>
        <item x="8"/>
        <item x="0"/>
        <item x="11"/>
        <item x="14"/>
        <item x="18"/>
        <item x="10"/>
        <item x="13"/>
        <item x="15"/>
        <item x="16"/>
        <item x="12"/>
        <item x="2"/>
        <item x="17"/>
        <item x="6"/>
        <item x="7"/>
        <item x="9"/>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4" showAll="0"/>
  </pivotFields>
  <rowFields count="1">
    <field x="4"/>
  </rowFields>
  <rowItems count="20">
    <i>
      <x v="1"/>
    </i>
    <i>
      <x/>
    </i>
    <i>
      <x v="11"/>
    </i>
    <i>
      <x v="8"/>
    </i>
    <i>
      <x v="10"/>
    </i>
    <i>
      <x v="4"/>
    </i>
    <i>
      <x v="3"/>
    </i>
    <i>
      <x v="17"/>
    </i>
    <i>
      <x v="2"/>
    </i>
    <i>
      <x v="6"/>
    </i>
    <i>
      <x v="12"/>
    </i>
    <i>
      <x v="5"/>
    </i>
    <i>
      <x v="15"/>
    </i>
    <i>
      <x v="7"/>
    </i>
    <i>
      <x v="9"/>
    </i>
    <i>
      <x v="14"/>
    </i>
    <i>
      <x v="18"/>
    </i>
    <i>
      <x v="13"/>
    </i>
    <i>
      <x v="16"/>
    </i>
    <i t="grand">
      <x/>
    </i>
  </rowItems>
  <colItems count="1">
    <i/>
  </colItems>
  <dataFields count="1">
    <dataField name="Sum of Revenue" fld="7" baseField="0" baseItem="0" numFmtId="164"/>
  </dataFields>
  <chartFormats count="9">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16"/>
          </reference>
        </references>
      </pivotArea>
    </chartFormat>
    <chartFormat chart="0" format="3">
      <pivotArea type="data" outline="0" fieldPosition="0">
        <references count="2">
          <reference field="4294967294" count="1" selected="0">
            <x v="0"/>
          </reference>
          <reference field="4" count="1" selected="0">
            <x v="13"/>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4" count="1" selected="0">
            <x v="13"/>
          </reference>
        </references>
      </pivotArea>
    </chartFormat>
    <chartFormat chart="1" format="6">
      <pivotArea type="data" outline="0" fieldPosition="0">
        <references count="2">
          <reference field="4294967294" count="1" selected="0">
            <x v="0"/>
          </reference>
          <reference field="4" count="1" selected="0">
            <x v="16"/>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13"/>
          </reference>
        </references>
      </pivotArea>
    </chartFormat>
    <chartFormat chart="4" format="9">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F9F9389-3C78-497C-B957-B76CCE00B453}" sourceName="Genre ">
  <pivotTables>
    <pivotTable tabId="8" name="PivotTable6"/>
    <pivotTable tabId="6" name="PivotTable1"/>
    <pivotTable tabId="6" name="PivotTable2"/>
    <pivotTable tabId="6" name="PivotTable3"/>
    <pivotTable tabId="10" name="PivotTable5"/>
    <pivotTable tabId="7" name="PivotTable5"/>
    <pivotTable tabId="9" name="PivotTable7"/>
  </pivotTables>
  <data>
    <tabular pivotCacheId="864613093">
      <items count="11">
        <i x="6" s="1"/>
        <i x="10" s="1"/>
        <i x="3" s="1"/>
        <i x="1" s="1"/>
        <i x="7" s="1"/>
        <i x="8" s="1"/>
        <i x="5" s="1"/>
        <i x="2" s="1"/>
        <i x="9"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Year" xr10:uid="{73059D1B-C6CD-49C2-899D-2EB06F0C1F83}" sourceName="Publication Year">
  <pivotTables>
    <pivotTable tabId="9" name="PivotTable7"/>
    <pivotTable tabId="6" name="PivotTable1"/>
    <pivotTable tabId="6" name="PivotTable2"/>
    <pivotTable tabId="6" name="PivotTable3"/>
    <pivotTable tabId="10" name="PivotTable5"/>
    <pivotTable tabId="7" name="PivotTable5"/>
    <pivotTable tabId="8" name="PivotTable6"/>
  </pivotTables>
  <data>
    <tabular pivotCacheId="864613093">
      <items count="19">
        <i x="1" s="1"/>
        <i x="3" s="1"/>
        <i x="5" s="1"/>
        <i x="4" s="1"/>
        <i x="8" s="1"/>
        <i x="0" s="1"/>
        <i x="11" s="1"/>
        <i x="14" s="1"/>
        <i x="18" s="1"/>
        <i x="10" s="1"/>
        <i x="13" s="1"/>
        <i x="15" s="1"/>
        <i x="16" s="1"/>
        <i x="12" s="1"/>
        <i x="2" s="1"/>
        <i x="17" s="1"/>
        <i x="6"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 xr10:uid="{B826FA8C-760D-4358-868B-27DE639B7D18}" cache="Slicer_Genre" caption="Genre " style="SlicerStyleOther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cation Year" xr10:uid="{CDCEBDBB-488A-4393-AC8C-CCF619DC36BB}" cache="Slicer_Publication_Year" caption="Publication Year" columnCount="2" style="SlicerStyleOther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75C8F936-DE60-490C-BFFB-74AF725A5285}" cache="Slicer_Genre" caption="Genre " startItem="4" style="SlicerStyleOther1" rowHeight="251883"/>
  <slicer name="Publication Year 1" xr10:uid="{503329E1-63C6-4B1A-B6F5-278048486D2E}" cache="Slicer_Publication_Year" caption="Publication Year" columnCount="2"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5428A-196C-4FF1-AABF-209C10A073CB}" name="Book_Store_Table" displayName="Book_Store_Table" ref="A1:H26" totalsRowShown="0">
  <autoFilter ref="A1:H26" xr:uid="{6555428A-196C-4FF1-AABF-209C10A073CB}"/>
  <tableColumns count="8">
    <tableColumn id="1" xr3:uid="{8D380B90-4A13-47B0-B93B-07010DF20CC8}" name="Book ID"/>
    <tableColumn id="2" xr3:uid="{03FFDD54-C3F8-4A22-94BD-CFDC3D4C71D8}" name="Title" dataDxfId="6"/>
    <tableColumn id="3" xr3:uid="{B9230775-4BD3-427E-96A0-1EBEB4C95457}" name="Author" dataDxfId="5"/>
    <tableColumn id="4" xr3:uid="{7763AA22-E85D-4A15-9976-612B45BCB475}" name="Genre " dataDxfId="4"/>
    <tableColumn id="5" xr3:uid="{781258D6-6E58-4242-9625-C61595F01927}" name="Publication Year" dataDxfId="3"/>
    <tableColumn id="6" xr3:uid="{CC95AAB8-6056-4079-888E-BA453E01DB7B}" name="Price" dataDxfId="2"/>
    <tableColumn id="7" xr3:uid="{461BC883-F57A-46E7-95A6-3DEB805EC73D}" name="Stock Quantity" dataDxfId="1"/>
    <tableColumn id="8" xr3:uid="{D9692B29-0EC7-4E80-9127-56382C76C869}" name="Revenue" dataDxfId="0">
      <calculatedColumnFormula>F2*G2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1CB2-2653-4EE1-9040-DC8AF7D9E440}">
  <dimension ref="A1:H26"/>
  <sheetViews>
    <sheetView topLeftCell="A3" zoomScale="82" workbookViewId="0">
      <selection activeCell="I5" sqref="I5"/>
    </sheetView>
  </sheetViews>
  <sheetFormatPr defaultRowHeight="14.5" x14ac:dyDescent="0.35"/>
  <cols>
    <col min="1" max="1" width="7.54296875" bestFit="1" customWidth="1"/>
    <col min="2" max="2" width="34.7265625" customWidth="1"/>
    <col min="3" max="3" width="20.81640625" bestFit="1" customWidth="1"/>
    <col min="5" max="5" width="16.26953125" customWidth="1"/>
    <col min="6" max="6" width="7.08984375" customWidth="1"/>
    <col min="7" max="7" width="14.08984375" bestFit="1" customWidth="1"/>
  </cols>
  <sheetData>
    <row r="1" spans="1:8" ht="14.5" customHeight="1" x14ac:dyDescent="0.35">
      <c r="A1" s="4" t="s">
        <v>0</v>
      </c>
      <c r="B1" s="4" t="s">
        <v>1</v>
      </c>
      <c r="C1" s="4" t="s">
        <v>2</v>
      </c>
      <c r="D1" s="4" t="s">
        <v>93</v>
      </c>
      <c r="E1" s="4" t="s">
        <v>94</v>
      </c>
      <c r="F1" s="4" t="s">
        <v>5</v>
      </c>
      <c r="G1" s="5" t="s">
        <v>6</v>
      </c>
      <c r="H1" s="6"/>
    </row>
    <row r="2" spans="1:8" ht="15" customHeight="1" x14ac:dyDescent="0.35">
      <c r="A2" s="6" t="s">
        <v>95</v>
      </c>
      <c r="B2" s="6" t="s">
        <v>96</v>
      </c>
      <c r="C2" s="6" t="s">
        <v>9</v>
      </c>
      <c r="D2" s="6" t="s">
        <v>97</v>
      </c>
      <c r="E2" s="7">
        <v>1979</v>
      </c>
      <c r="F2" s="6" t="s">
        <v>98</v>
      </c>
      <c r="G2" s="7">
        <v>25</v>
      </c>
      <c r="H2" s="6"/>
    </row>
    <row r="3" spans="1:8" x14ac:dyDescent="0.35">
      <c r="A3" s="6" t="s">
        <v>99</v>
      </c>
      <c r="B3" s="6" t="s">
        <v>12</v>
      </c>
      <c r="C3" s="6" t="s">
        <v>13</v>
      </c>
      <c r="D3" s="6" t="s">
        <v>100</v>
      </c>
      <c r="E3" s="7">
        <v>1813</v>
      </c>
      <c r="F3" s="7">
        <v>9.5</v>
      </c>
      <c r="G3" s="7">
        <v>15</v>
      </c>
      <c r="H3" s="6"/>
    </row>
    <row r="4" spans="1:8" ht="16" customHeight="1" x14ac:dyDescent="0.35">
      <c r="A4" s="6" t="s">
        <v>101</v>
      </c>
      <c r="B4" s="6" t="s">
        <v>16</v>
      </c>
      <c r="C4" s="6" t="s">
        <v>17</v>
      </c>
      <c r="D4" s="6" t="s">
        <v>18</v>
      </c>
      <c r="E4" s="7">
        <v>2014</v>
      </c>
      <c r="F4" s="7">
        <v>18.75</v>
      </c>
      <c r="G4" s="7">
        <v>30</v>
      </c>
      <c r="H4" s="6"/>
    </row>
    <row r="5" spans="1:8" x14ac:dyDescent="0.35">
      <c r="A5" s="6" t="s">
        <v>19</v>
      </c>
      <c r="B5" s="7">
        <v>1984</v>
      </c>
      <c r="C5" s="6" t="s">
        <v>20</v>
      </c>
      <c r="D5" s="6" t="s">
        <v>14</v>
      </c>
      <c r="E5" s="7">
        <v>1949</v>
      </c>
      <c r="F5" s="7">
        <v>10.199999999999999</v>
      </c>
      <c r="G5" s="7">
        <v>10</v>
      </c>
      <c r="H5" s="6"/>
    </row>
    <row r="6" spans="1:8" ht="16" customHeight="1" x14ac:dyDescent="0.35">
      <c r="A6" s="6" t="s">
        <v>21</v>
      </c>
      <c r="B6" s="6" t="s">
        <v>22</v>
      </c>
      <c r="C6" s="6" t="s">
        <v>23</v>
      </c>
      <c r="D6" s="6" t="s">
        <v>24</v>
      </c>
      <c r="E6" s="7">
        <v>1954</v>
      </c>
      <c r="F6" s="6" t="s">
        <v>102</v>
      </c>
      <c r="G6" s="7">
        <v>8</v>
      </c>
      <c r="H6" s="6"/>
    </row>
    <row r="7" spans="1:8" ht="15.5" customHeight="1" x14ac:dyDescent="0.35">
      <c r="A7" s="6" t="s">
        <v>25</v>
      </c>
      <c r="B7" s="6" t="s">
        <v>26</v>
      </c>
      <c r="C7" s="6" t="s">
        <v>103</v>
      </c>
      <c r="D7" s="6" t="s">
        <v>14</v>
      </c>
      <c r="E7" s="7">
        <v>1951</v>
      </c>
      <c r="F7" s="6" t="s">
        <v>104</v>
      </c>
      <c r="G7" s="7">
        <v>22</v>
      </c>
      <c r="H7" s="6"/>
    </row>
    <row r="8" spans="1:8" x14ac:dyDescent="0.35">
      <c r="A8" s="6" t="s">
        <v>28</v>
      </c>
      <c r="B8" s="6" t="s">
        <v>29</v>
      </c>
      <c r="C8" s="6" t="s">
        <v>30</v>
      </c>
      <c r="D8" s="6" t="s">
        <v>31</v>
      </c>
      <c r="E8" s="7">
        <v>2018</v>
      </c>
      <c r="F8" s="7">
        <v>15.5</v>
      </c>
      <c r="G8" s="7">
        <v>40</v>
      </c>
      <c r="H8" s="6"/>
    </row>
    <row r="9" spans="1:8" x14ac:dyDescent="0.35">
      <c r="A9" s="6" t="s">
        <v>32</v>
      </c>
      <c r="B9" s="6" t="s">
        <v>33</v>
      </c>
      <c r="C9" s="6" t="s">
        <v>34</v>
      </c>
      <c r="D9" s="6" t="s">
        <v>35</v>
      </c>
      <c r="E9" s="7">
        <v>20190</v>
      </c>
      <c r="F9" s="7">
        <v>13.99</v>
      </c>
      <c r="G9" s="7">
        <v>18</v>
      </c>
      <c r="H9" s="6"/>
    </row>
    <row r="10" spans="1:8" x14ac:dyDescent="0.35">
      <c r="A10" s="6" t="s">
        <v>36</v>
      </c>
      <c r="B10" s="6" t="s">
        <v>37</v>
      </c>
      <c r="C10" s="6" t="s">
        <v>38</v>
      </c>
      <c r="D10" s="6" t="s">
        <v>10</v>
      </c>
      <c r="E10" s="7">
        <v>1965</v>
      </c>
      <c r="F10" s="7">
        <v>16.25</v>
      </c>
      <c r="G10" s="7">
        <v>12</v>
      </c>
      <c r="H10" s="6"/>
    </row>
    <row r="11" spans="1:8" ht="16" customHeight="1" x14ac:dyDescent="0.35">
      <c r="A11" s="6" t="s">
        <v>105</v>
      </c>
      <c r="B11" s="6" t="s">
        <v>40</v>
      </c>
      <c r="C11" s="6" t="s">
        <v>41</v>
      </c>
      <c r="D11" s="6" t="s">
        <v>42</v>
      </c>
      <c r="E11" s="7">
        <v>2018</v>
      </c>
      <c r="F11" s="7">
        <v>17</v>
      </c>
      <c r="G11" s="7">
        <v>28</v>
      </c>
      <c r="H11" s="6"/>
    </row>
    <row r="12" spans="1:8" ht="15.5" customHeight="1" x14ac:dyDescent="0.35">
      <c r="A12" s="6" t="s">
        <v>43</v>
      </c>
      <c r="B12" s="6" t="s">
        <v>44</v>
      </c>
      <c r="C12" s="6" t="s">
        <v>45</v>
      </c>
      <c r="D12" s="6" t="s">
        <v>46</v>
      </c>
      <c r="E12" s="6" t="s">
        <v>47</v>
      </c>
      <c r="F12" s="7">
        <v>20200</v>
      </c>
      <c r="G12" s="7">
        <v>14.5</v>
      </c>
      <c r="H12" s="7">
        <v>35</v>
      </c>
    </row>
    <row r="13" spans="1:8" x14ac:dyDescent="0.35">
      <c r="A13" s="6" t="s">
        <v>44</v>
      </c>
      <c r="B13" s="6" t="s">
        <v>48</v>
      </c>
      <c r="C13" s="6" t="s">
        <v>49</v>
      </c>
      <c r="D13" s="6" t="s">
        <v>106</v>
      </c>
      <c r="E13" s="7">
        <v>2020</v>
      </c>
      <c r="F13" s="7">
        <v>12.75</v>
      </c>
      <c r="G13" s="7">
        <v>20</v>
      </c>
      <c r="H13" s="6"/>
    </row>
    <row r="14" spans="1:8" x14ac:dyDescent="0.35">
      <c r="A14" s="6" t="s">
        <v>50</v>
      </c>
      <c r="B14" s="6" t="s">
        <v>51</v>
      </c>
      <c r="C14" s="6" t="s">
        <v>52</v>
      </c>
      <c r="D14" s="6" t="s">
        <v>35</v>
      </c>
      <c r="E14" s="7">
        <v>20180</v>
      </c>
      <c r="F14" s="7">
        <v>14</v>
      </c>
      <c r="G14" s="7">
        <v>25</v>
      </c>
      <c r="H14" s="6"/>
    </row>
    <row r="15" spans="1:8" ht="13" customHeight="1" x14ac:dyDescent="0.35">
      <c r="A15" s="6" t="s">
        <v>53</v>
      </c>
      <c r="B15" s="6" t="s">
        <v>54</v>
      </c>
      <c r="C15" s="6" t="s">
        <v>55</v>
      </c>
      <c r="D15" s="6" t="s">
        <v>107</v>
      </c>
      <c r="E15" s="7">
        <v>2005</v>
      </c>
      <c r="F15" s="7">
        <v>11</v>
      </c>
      <c r="G15" s="7">
        <v>16</v>
      </c>
      <c r="H15" s="6"/>
    </row>
    <row r="16" spans="1:8" x14ac:dyDescent="0.35">
      <c r="A16" s="6" t="s">
        <v>57</v>
      </c>
      <c r="B16" s="6" t="s">
        <v>58</v>
      </c>
      <c r="C16" s="6" t="s">
        <v>59</v>
      </c>
      <c r="D16" s="6" t="s">
        <v>14</v>
      </c>
      <c r="E16" s="7">
        <v>1988</v>
      </c>
      <c r="F16" s="7">
        <v>9.99</v>
      </c>
      <c r="G16" s="7">
        <v>30</v>
      </c>
      <c r="H16" s="6"/>
    </row>
    <row r="17" spans="1:8" ht="14" customHeight="1" x14ac:dyDescent="0.35">
      <c r="A17" s="6" t="s">
        <v>60</v>
      </c>
      <c r="B17" s="6" t="s">
        <v>61</v>
      </c>
      <c r="C17" s="6" t="s">
        <v>108</v>
      </c>
      <c r="D17" s="6" t="s">
        <v>62</v>
      </c>
      <c r="E17" s="6" t="s">
        <v>63</v>
      </c>
      <c r="F17" s="7">
        <v>2011</v>
      </c>
      <c r="G17" s="7">
        <v>19.95</v>
      </c>
      <c r="H17" s="7">
        <v>14</v>
      </c>
    </row>
    <row r="18" spans="1:8" x14ac:dyDescent="0.35">
      <c r="A18" s="6" t="s">
        <v>64</v>
      </c>
      <c r="B18" s="6" t="s">
        <v>65</v>
      </c>
      <c r="C18" s="6" t="s">
        <v>66</v>
      </c>
      <c r="D18" s="6" t="s">
        <v>35</v>
      </c>
      <c r="E18" s="7">
        <v>2005</v>
      </c>
      <c r="F18" s="7">
        <v>12.5</v>
      </c>
      <c r="G18" s="7">
        <v>22</v>
      </c>
      <c r="H18" s="6"/>
    </row>
    <row r="19" spans="1:8" x14ac:dyDescent="0.35">
      <c r="A19" s="6" t="s">
        <v>67</v>
      </c>
      <c r="B19" s="6" t="s">
        <v>68</v>
      </c>
      <c r="C19" s="6" t="s">
        <v>69</v>
      </c>
      <c r="D19" s="6" t="s">
        <v>14</v>
      </c>
      <c r="E19" s="7">
        <v>20061</v>
      </c>
      <c r="F19" s="7">
        <v>10.75</v>
      </c>
      <c r="G19" s="6" t="s">
        <v>109</v>
      </c>
      <c r="H19" s="6"/>
    </row>
    <row r="20" spans="1:8" x14ac:dyDescent="0.35">
      <c r="A20" s="6" t="s">
        <v>70</v>
      </c>
      <c r="B20" s="6" t="s">
        <v>71</v>
      </c>
      <c r="C20" s="6" t="s">
        <v>72</v>
      </c>
      <c r="D20" s="6" t="s">
        <v>110</v>
      </c>
      <c r="E20" s="7">
        <v>2011</v>
      </c>
      <c r="F20" s="7">
        <v>16.5</v>
      </c>
      <c r="G20" s="7">
        <v>15</v>
      </c>
      <c r="H20" s="6"/>
    </row>
    <row r="21" spans="1:8" ht="15" customHeight="1" x14ac:dyDescent="0.35">
      <c r="A21" s="6" t="s">
        <v>74</v>
      </c>
      <c r="B21" s="6" t="s">
        <v>111</v>
      </c>
      <c r="C21" s="6" t="s">
        <v>76</v>
      </c>
      <c r="D21" s="6" t="s">
        <v>112</v>
      </c>
      <c r="E21" s="7">
        <v>1997</v>
      </c>
      <c r="F21" s="7">
        <v>13</v>
      </c>
      <c r="G21" s="7">
        <v>28</v>
      </c>
      <c r="H21" s="6"/>
    </row>
    <row r="22" spans="1:8" x14ac:dyDescent="0.35">
      <c r="A22" s="6" t="s">
        <v>77</v>
      </c>
      <c r="B22" s="6" t="s">
        <v>78</v>
      </c>
      <c r="C22" s="6" t="s">
        <v>79</v>
      </c>
      <c r="D22" s="6" t="s">
        <v>24</v>
      </c>
      <c r="E22" s="7">
        <v>2007</v>
      </c>
      <c r="F22" s="7">
        <v>17.25</v>
      </c>
      <c r="G22" s="7">
        <v>10</v>
      </c>
      <c r="H22" s="6"/>
    </row>
    <row r="23" spans="1:8" ht="14.5" customHeight="1" x14ac:dyDescent="0.35">
      <c r="A23" s="6" t="s">
        <v>80</v>
      </c>
      <c r="B23" s="6" t="s">
        <v>81</v>
      </c>
      <c r="C23" s="6" t="s">
        <v>82</v>
      </c>
      <c r="D23" s="6" t="s">
        <v>113</v>
      </c>
      <c r="E23" s="7">
        <v>2010</v>
      </c>
      <c r="F23" s="7">
        <v>15.8</v>
      </c>
      <c r="G23" s="7">
        <v>20</v>
      </c>
      <c r="H23" s="6"/>
    </row>
    <row r="24" spans="1:8" x14ac:dyDescent="0.35">
      <c r="A24" s="6" t="s">
        <v>83</v>
      </c>
      <c r="B24" s="6" t="s">
        <v>114</v>
      </c>
      <c r="C24" s="6" t="s">
        <v>85</v>
      </c>
      <c r="D24" s="6" t="s">
        <v>10</v>
      </c>
      <c r="E24" s="7">
        <v>2011</v>
      </c>
      <c r="F24" s="7">
        <v>14.75</v>
      </c>
      <c r="G24" s="7">
        <v>30</v>
      </c>
      <c r="H24" s="6"/>
    </row>
    <row r="25" spans="1:8" ht="12.5" customHeight="1" x14ac:dyDescent="0.35">
      <c r="A25" s="6" t="s">
        <v>86</v>
      </c>
      <c r="B25" s="6" t="s">
        <v>115</v>
      </c>
      <c r="C25" s="6" t="s">
        <v>88</v>
      </c>
      <c r="D25" s="6" t="s">
        <v>116</v>
      </c>
      <c r="E25" s="7">
        <v>20150</v>
      </c>
      <c r="F25" s="7">
        <v>13.5</v>
      </c>
      <c r="G25" s="7">
        <v>25</v>
      </c>
      <c r="H25" s="6"/>
    </row>
    <row r="26" spans="1:8" x14ac:dyDescent="0.35">
      <c r="A26" s="6" t="s">
        <v>89</v>
      </c>
      <c r="B26" s="6" t="s">
        <v>117</v>
      </c>
      <c r="C26" s="6" t="s">
        <v>91</v>
      </c>
      <c r="D26" s="6" t="s">
        <v>100</v>
      </c>
      <c r="E26" s="7">
        <v>20030</v>
      </c>
      <c r="F26" s="7">
        <v>10.5</v>
      </c>
      <c r="G26" s="7">
        <v>18</v>
      </c>
      <c r="H2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9CE7-AD09-430E-9C83-FBC9CF2D5513}">
  <dimension ref="A1:H26"/>
  <sheetViews>
    <sheetView zoomScale="80" zoomScaleNormal="80" workbookViewId="0">
      <selection activeCell="J6" sqref="J6"/>
    </sheetView>
  </sheetViews>
  <sheetFormatPr defaultRowHeight="14.5" x14ac:dyDescent="0.35"/>
  <cols>
    <col min="1" max="1" width="10.36328125" bestFit="1" customWidth="1"/>
    <col min="2" max="2" width="35.90625" style="3" customWidth="1"/>
    <col min="3" max="3" width="20.81640625" style="3" bestFit="1" customWidth="1"/>
    <col min="4" max="4" width="16.453125" style="3" customWidth="1"/>
    <col min="5" max="5" width="19.1796875" customWidth="1"/>
    <col min="6" max="6" width="10.1796875" style="9" customWidth="1"/>
    <col min="7" max="7" width="16.6328125" customWidth="1"/>
    <col min="8" max="8" width="12" customWidth="1"/>
  </cols>
  <sheetData>
    <row r="1" spans="1:8" s="1" customFormat="1" x14ac:dyDescent="0.35">
      <c r="A1" s="1" t="s">
        <v>0</v>
      </c>
      <c r="B1" s="2" t="s">
        <v>1</v>
      </c>
      <c r="C1" s="2" t="s">
        <v>2</v>
      </c>
      <c r="D1" s="2" t="s">
        <v>3</v>
      </c>
      <c r="E1" s="1" t="s">
        <v>4</v>
      </c>
      <c r="F1" s="8" t="s">
        <v>5</v>
      </c>
      <c r="G1" s="1" t="s">
        <v>6</v>
      </c>
      <c r="H1" s="1" t="s">
        <v>118</v>
      </c>
    </row>
    <row r="2" spans="1:8" x14ac:dyDescent="0.35">
      <c r="A2" t="s">
        <v>7</v>
      </c>
      <c r="B2" s="3" t="s">
        <v>8</v>
      </c>
      <c r="C2" s="3" t="s">
        <v>9</v>
      </c>
      <c r="D2" s="3" t="s">
        <v>10</v>
      </c>
      <c r="E2">
        <v>1979</v>
      </c>
      <c r="F2" s="9">
        <v>12.99</v>
      </c>
      <c r="G2">
        <v>25</v>
      </c>
      <c r="H2" s="9">
        <f>F2*G2</f>
        <v>324.75</v>
      </c>
    </row>
    <row r="3" spans="1:8" x14ac:dyDescent="0.35">
      <c r="A3" t="s">
        <v>11</v>
      </c>
      <c r="B3" s="3" t="s">
        <v>12</v>
      </c>
      <c r="C3" s="3" t="s">
        <v>13</v>
      </c>
      <c r="D3" s="3" t="s">
        <v>14</v>
      </c>
      <c r="E3">
        <v>1813</v>
      </c>
      <c r="F3" s="9">
        <v>9.5</v>
      </c>
      <c r="G3">
        <v>15</v>
      </c>
      <c r="H3" s="9">
        <f t="shared" ref="H3:H26" si="0">F3*G3</f>
        <v>142.5</v>
      </c>
    </row>
    <row r="4" spans="1:8" x14ac:dyDescent="0.35">
      <c r="A4" t="s">
        <v>15</v>
      </c>
      <c r="B4" s="3" t="s">
        <v>16</v>
      </c>
      <c r="C4" s="3" t="s">
        <v>17</v>
      </c>
      <c r="D4" s="3" t="s">
        <v>18</v>
      </c>
      <c r="E4">
        <v>2014</v>
      </c>
      <c r="F4" s="9">
        <v>18.75</v>
      </c>
      <c r="G4">
        <v>30</v>
      </c>
      <c r="H4" s="9">
        <f t="shared" si="0"/>
        <v>562.5</v>
      </c>
    </row>
    <row r="5" spans="1:8" x14ac:dyDescent="0.35">
      <c r="A5" t="s">
        <v>19</v>
      </c>
      <c r="B5" s="3">
        <v>1984</v>
      </c>
      <c r="C5" s="3" t="s">
        <v>20</v>
      </c>
      <c r="D5" s="3" t="s">
        <v>14</v>
      </c>
      <c r="E5">
        <v>1949</v>
      </c>
      <c r="F5" s="9">
        <v>10.199999999999999</v>
      </c>
      <c r="G5">
        <v>10</v>
      </c>
      <c r="H5" s="9">
        <f t="shared" si="0"/>
        <v>102</v>
      </c>
    </row>
    <row r="6" spans="1:8" x14ac:dyDescent="0.35">
      <c r="A6" t="s">
        <v>21</v>
      </c>
      <c r="B6" s="3" t="s">
        <v>22</v>
      </c>
      <c r="C6" s="3" t="s">
        <v>23</v>
      </c>
      <c r="D6" s="3" t="s">
        <v>24</v>
      </c>
      <c r="E6">
        <v>1954</v>
      </c>
      <c r="F6" s="9">
        <v>25</v>
      </c>
      <c r="G6">
        <v>8</v>
      </c>
      <c r="H6" s="9">
        <f t="shared" si="0"/>
        <v>200</v>
      </c>
    </row>
    <row r="7" spans="1:8" x14ac:dyDescent="0.35">
      <c r="A7" t="s">
        <v>25</v>
      </c>
      <c r="B7" s="3" t="s">
        <v>26</v>
      </c>
      <c r="C7" s="3" t="s">
        <v>27</v>
      </c>
      <c r="D7" s="3" t="s">
        <v>14</v>
      </c>
      <c r="E7">
        <v>1951</v>
      </c>
      <c r="F7" s="9">
        <v>11.8</v>
      </c>
      <c r="G7">
        <v>22</v>
      </c>
      <c r="H7" s="9">
        <f t="shared" si="0"/>
        <v>259.60000000000002</v>
      </c>
    </row>
    <row r="8" spans="1:8" x14ac:dyDescent="0.35">
      <c r="A8" t="s">
        <v>28</v>
      </c>
      <c r="B8" s="3" t="s">
        <v>29</v>
      </c>
      <c r="C8" s="3" t="s">
        <v>30</v>
      </c>
      <c r="D8" s="3" t="s">
        <v>31</v>
      </c>
      <c r="E8">
        <v>2018</v>
      </c>
      <c r="F8" s="9">
        <v>15.5</v>
      </c>
      <c r="G8">
        <v>40</v>
      </c>
      <c r="H8" s="9">
        <f t="shared" si="0"/>
        <v>620</v>
      </c>
    </row>
    <row r="9" spans="1:8" x14ac:dyDescent="0.35">
      <c r="A9" t="s">
        <v>32</v>
      </c>
      <c r="B9" s="3" t="s">
        <v>33</v>
      </c>
      <c r="C9" s="3" t="s">
        <v>34</v>
      </c>
      <c r="D9" s="3" t="s">
        <v>35</v>
      </c>
      <c r="E9">
        <v>2019</v>
      </c>
      <c r="F9" s="9">
        <v>13.99</v>
      </c>
      <c r="G9">
        <v>18</v>
      </c>
      <c r="H9" s="9">
        <f t="shared" si="0"/>
        <v>251.82</v>
      </c>
    </row>
    <row r="10" spans="1:8" x14ac:dyDescent="0.35">
      <c r="A10" t="s">
        <v>36</v>
      </c>
      <c r="B10" s="3" t="s">
        <v>37</v>
      </c>
      <c r="C10" s="3" t="s">
        <v>38</v>
      </c>
      <c r="D10" s="3" t="s">
        <v>10</v>
      </c>
      <c r="E10">
        <v>1965</v>
      </c>
      <c r="F10" s="9">
        <v>16.25</v>
      </c>
      <c r="G10">
        <v>12</v>
      </c>
      <c r="H10" s="9">
        <f t="shared" si="0"/>
        <v>195</v>
      </c>
    </row>
    <row r="11" spans="1:8" x14ac:dyDescent="0.35">
      <c r="A11" t="s">
        <v>39</v>
      </c>
      <c r="B11" s="3" t="s">
        <v>40</v>
      </c>
      <c r="C11" s="3" t="s">
        <v>41</v>
      </c>
      <c r="D11" s="3" t="s">
        <v>42</v>
      </c>
      <c r="E11">
        <v>2018</v>
      </c>
      <c r="F11" s="9">
        <v>17</v>
      </c>
      <c r="G11">
        <v>28</v>
      </c>
      <c r="H11" s="9">
        <f t="shared" si="0"/>
        <v>476</v>
      </c>
    </row>
    <row r="12" spans="1:8" x14ac:dyDescent="0.35">
      <c r="A12" t="s">
        <v>43</v>
      </c>
      <c r="B12" s="3" t="s">
        <v>45</v>
      </c>
      <c r="C12" s="3" t="s">
        <v>46</v>
      </c>
      <c r="D12" s="3" t="s">
        <v>47</v>
      </c>
      <c r="E12">
        <v>2020</v>
      </c>
      <c r="F12" s="9">
        <v>14.5</v>
      </c>
      <c r="G12">
        <v>35</v>
      </c>
      <c r="H12" s="9">
        <f t="shared" si="0"/>
        <v>507.5</v>
      </c>
    </row>
    <row r="13" spans="1:8" x14ac:dyDescent="0.35">
      <c r="A13" t="s">
        <v>44</v>
      </c>
      <c r="B13" s="3" t="s">
        <v>48</v>
      </c>
      <c r="C13" s="3" t="s">
        <v>49</v>
      </c>
      <c r="D13" s="3" t="s">
        <v>14</v>
      </c>
      <c r="E13">
        <v>2020</v>
      </c>
      <c r="F13" s="9">
        <v>12.75</v>
      </c>
      <c r="G13">
        <v>20</v>
      </c>
      <c r="H13" s="9">
        <f t="shared" si="0"/>
        <v>255</v>
      </c>
    </row>
    <row r="14" spans="1:8" x14ac:dyDescent="0.35">
      <c r="A14" t="s">
        <v>50</v>
      </c>
      <c r="B14" s="3" t="s">
        <v>51</v>
      </c>
      <c r="C14" s="3" t="s">
        <v>52</v>
      </c>
      <c r="D14" s="3" t="s">
        <v>35</v>
      </c>
      <c r="E14">
        <v>2018</v>
      </c>
      <c r="F14" s="9">
        <v>14</v>
      </c>
      <c r="G14">
        <v>25</v>
      </c>
      <c r="H14" s="9">
        <f t="shared" si="0"/>
        <v>350</v>
      </c>
    </row>
    <row r="15" spans="1:8" x14ac:dyDescent="0.35">
      <c r="A15" t="s">
        <v>53</v>
      </c>
      <c r="B15" s="3" t="s">
        <v>54</v>
      </c>
      <c r="C15" s="3" t="s">
        <v>55</v>
      </c>
      <c r="D15" s="3" t="s">
        <v>56</v>
      </c>
      <c r="E15">
        <v>2005</v>
      </c>
      <c r="F15" s="9">
        <v>11</v>
      </c>
      <c r="G15">
        <v>16</v>
      </c>
      <c r="H15" s="9">
        <f t="shared" si="0"/>
        <v>176</v>
      </c>
    </row>
    <row r="16" spans="1:8" x14ac:dyDescent="0.35">
      <c r="A16" t="s">
        <v>57</v>
      </c>
      <c r="B16" s="3" t="s">
        <v>58</v>
      </c>
      <c r="C16" s="3" t="s">
        <v>59</v>
      </c>
      <c r="D16" s="3" t="s">
        <v>14</v>
      </c>
      <c r="E16">
        <v>1988</v>
      </c>
      <c r="F16" s="9">
        <v>9.99</v>
      </c>
      <c r="G16">
        <v>30</v>
      </c>
      <c r="H16" s="9">
        <f t="shared" si="0"/>
        <v>299.7</v>
      </c>
    </row>
    <row r="17" spans="1:8" x14ac:dyDescent="0.35">
      <c r="A17" t="s">
        <v>60</v>
      </c>
      <c r="B17" s="3" t="s">
        <v>92</v>
      </c>
      <c r="C17" s="3" t="s">
        <v>62</v>
      </c>
      <c r="D17" s="3" t="s">
        <v>63</v>
      </c>
      <c r="E17">
        <v>2011</v>
      </c>
      <c r="F17" s="9">
        <v>19.95</v>
      </c>
      <c r="G17">
        <v>14</v>
      </c>
      <c r="H17" s="9">
        <f t="shared" si="0"/>
        <v>279.3</v>
      </c>
    </row>
    <row r="18" spans="1:8" x14ac:dyDescent="0.35">
      <c r="A18" t="s">
        <v>64</v>
      </c>
      <c r="B18" s="3" t="s">
        <v>65</v>
      </c>
      <c r="C18" s="3" t="s">
        <v>66</v>
      </c>
      <c r="D18" s="3" t="s">
        <v>35</v>
      </c>
      <c r="E18">
        <v>2005</v>
      </c>
      <c r="F18" s="9">
        <v>12.5</v>
      </c>
      <c r="G18">
        <v>22</v>
      </c>
      <c r="H18" s="9">
        <f t="shared" si="0"/>
        <v>275</v>
      </c>
    </row>
    <row r="19" spans="1:8" x14ac:dyDescent="0.35">
      <c r="A19" t="s">
        <v>67</v>
      </c>
      <c r="B19" s="3" t="s">
        <v>68</v>
      </c>
      <c r="C19" s="3" t="s">
        <v>69</v>
      </c>
      <c r="D19" s="3" t="s">
        <v>14</v>
      </c>
      <c r="E19">
        <v>2006</v>
      </c>
      <c r="F19" s="9">
        <v>10.75</v>
      </c>
      <c r="G19">
        <v>18</v>
      </c>
      <c r="H19" s="9">
        <f t="shared" si="0"/>
        <v>193.5</v>
      </c>
    </row>
    <row r="20" spans="1:8" x14ac:dyDescent="0.35">
      <c r="A20" t="s">
        <v>70</v>
      </c>
      <c r="B20" s="3" t="s">
        <v>71</v>
      </c>
      <c r="C20" s="3" t="s">
        <v>72</v>
      </c>
      <c r="D20" s="3" t="s">
        <v>73</v>
      </c>
      <c r="E20">
        <v>2011</v>
      </c>
      <c r="F20" s="9">
        <v>16.5</v>
      </c>
      <c r="G20">
        <v>15</v>
      </c>
      <c r="H20" s="9">
        <f t="shared" si="0"/>
        <v>247.5</v>
      </c>
    </row>
    <row r="21" spans="1:8" x14ac:dyDescent="0.35">
      <c r="A21" t="s">
        <v>74</v>
      </c>
      <c r="B21" s="3" t="s">
        <v>75</v>
      </c>
      <c r="C21" s="3" t="s">
        <v>76</v>
      </c>
      <c r="D21" s="3" t="s">
        <v>31</v>
      </c>
      <c r="E21">
        <v>1997</v>
      </c>
      <c r="F21" s="9">
        <v>13</v>
      </c>
      <c r="G21">
        <v>28</v>
      </c>
      <c r="H21" s="9">
        <f t="shared" si="0"/>
        <v>364</v>
      </c>
    </row>
    <row r="22" spans="1:8" x14ac:dyDescent="0.35">
      <c r="A22" t="s">
        <v>77</v>
      </c>
      <c r="B22" s="3" t="s">
        <v>78</v>
      </c>
      <c r="C22" s="3" t="s">
        <v>79</v>
      </c>
      <c r="D22" s="3" t="s">
        <v>24</v>
      </c>
      <c r="E22">
        <v>2007</v>
      </c>
      <c r="F22" s="9">
        <v>17.25</v>
      </c>
      <c r="G22">
        <v>10</v>
      </c>
      <c r="H22" s="9">
        <f t="shared" si="0"/>
        <v>172.5</v>
      </c>
    </row>
    <row r="23" spans="1:8" x14ac:dyDescent="0.35">
      <c r="A23" t="s">
        <v>80</v>
      </c>
      <c r="B23" s="3" t="s">
        <v>81</v>
      </c>
      <c r="C23" s="3" t="s">
        <v>82</v>
      </c>
      <c r="D23" s="3" t="s">
        <v>18</v>
      </c>
      <c r="E23">
        <v>2010</v>
      </c>
      <c r="F23" s="9">
        <v>15.8</v>
      </c>
      <c r="G23">
        <v>20</v>
      </c>
      <c r="H23" s="9">
        <f t="shared" si="0"/>
        <v>316</v>
      </c>
    </row>
    <row r="24" spans="1:8" x14ac:dyDescent="0.35">
      <c r="A24" t="s">
        <v>83</v>
      </c>
      <c r="B24" s="3" t="s">
        <v>84</v>
      </c>
      <c r="C24" s="3" t="s">
        <v>85</v>
      </c>
      <c r="D24" s="3" t="s">
        <v>10</v>
      </c>
      <c r="E24">
        <v>2011</v>
      </c>
      <c r="F24" s="9">
        <v>14.75</v>
      </c>
      <c r="G24">
        <v>30</v>
      </c>
      <c r="H24" s="9">
        <f t="shared" si="0"/>
        <v>442.5</v>
      </c>
    </row>
    <row r="25" spans="1:8" x14ac:dyDescent="0.35">
      <c r="A25" t="s">
        <v>86</v>
      </c>
      <c r="B25" s="3" t="s">
        <v>87</v>
      </c>
      <c r="C25" s="3" t="s">
        <v>88</v>
      </c>
      <c r="D25" s="3" t="s">
        <v>56</v>
      </c>
      <c r="E25">
        <v>2015</v>
      </c>
      <c r="F25" s="9">
        <v>13.5</v>
      </c>
      <c r="G25">
        <v>25</v>
      </c>
      <c r="H25" s="9">
        <f t="shared" si="0"/>
        <v>337.5</v>
      </c>
    </row>
    <row r="26" spans="1:8" x14ac:dyDescent="0.35">
      <c r="A26" t="s">
        <v>89</v>
      </c>
      <c r="B26" s="3" t="s">
        <v>90</v>
      </c>
      <c r="C26" s="3" t="s">
        <v>91</v>
      </c>
      <c r="D26" s="3" t="s">
        <v>14</v>
      </c>
      <c r="E26">
        <v>2003</v>
      </c>
      <c r="F26" s="9">
        <v>10.5</v>
      </c>
      <c r="G26">
        <v>18</v>
      </c>
      <c r="H26" s="9">
        <f t="shared" si="0"/>
        <v>189</v>
      </c>
    </row>
  </sheetData>
  <autoFilter ref="A1:H26" xr:uid="{222D9CE7-AD09-430E-9C83-FBC9CF2D55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BAA1-700E-41F7-91E5-917F69661E7B}">
  <dimension ref="A1:H26"/>
  <sheetViews>
    <sheetView zoomScale="76" zoomScaleNormal="70" workbookViewId="0">
      <selection activeCell="G13" sqref="G13"/>
    </sheetView>
  </sheetViews>
  <sheetFormatPr defaultRowHeight="14.5" x14ac:dyDescent="0.35"/>
  <cols>
    <col min="1" max="1" width="10.36328125" bestFit="1" customWidth="1"/>
    <col min="2" max="2" width="35.90625" style="3" customWidth="1"/>
    <col min="3" max="3" width="20.81640625" style="3" bestFit="1" customWidth="1"/>
    <col min="4" max="4" width="16.453125" style="3" customWidth="1"/>
    <col min="5" max="5" width="19.1796875" customWidth="1"/>
    <col min="6" max="6" width="10.1796875" style="9" customWidth="1"/>
    <col min="7" max="7" width="16.6328125" customWidth="1"/>
    <col min="8" max="8" width="11" bestFit="1" customWidth="1"/>
  </cols>
  <sheetData>
    <row r="1" spans="1:8" s="1" customFormat="1" x14ac:dyDescent="0.35">
      <c r="A1" s="1" t="s">
        <v>0</v>
      </c>
      <c r="B1" s="2" t="s">
        <v>1</v>
      </c>
      <c r="C1" s="2" t="s">
        <v>2</v>
      </c>
      <c r="D1" s="2" t="s">
        <v>3</v>
      </c>
      <c r="E1" s="1" t="s">
        <v>4</v>
      </c>
      <c r="F1" s="8" t="s">
        <v>5</v>
      </c>
      <c r="G1" s="1" t="s">
        <v>6</v>
      </c>
      <c r="H1" s="1" t="s">
        <v>118</v>
      </c>
    </row>
    <row r="2" spans="1:8" x14ac:dyDescent="0.35">
      <c r="A2" t="s">
        <v>7</v>
      </c>
      <c r="B2" s="3" t="s">
        <v>8</v>
      </c>
      <c r="C2" s="3" t="s">
        <v>9</v>
      </c>
      <c r="D2" s="3" t="s">
        <v>10</v>
      </c>
      <c r="E2">
        <v>1979</v>
      </c>
      <c r="F2" s="9">
        <v>12.99</v>
      </c>
      <c r="G2">
        <v>25</v>
      </c>
      <c r="H2" s="9">
        <f>F2*G2</f>
        <v>324.75</v>
      </c>
    </row>
    <row r="3" spans="1:8" x14ac:dyDescent="0.35">
      <c r="A3" t="s">
        <v>11</v>
      </c>
      <c r="B3" s="3" t="s">
        <v>12</v>
      </c>
      <c r="C3" s="3" t="s">
        <v>13</v>
      </c>
      <c r="D3" s="3" t="s">
        <v>14</v>
      </c>
      <c r="E3">
        <v>1813</v>
      </c>
      <c r="F3" s="9">
        <v>9.5</v>
      </c>
      <c r="G3">
        <v>15</v>
      </c>
      <c r="H3" s="9">
        <f t="shared" ref="H3:H26" si="0">F3*G3</f>
        <v>142.5</v>
      </c>
    </row>
    <row r="4" spans="1:8" x14ac:dyDescent="0.35">
      <c r="A4" t="s">
        <v>15</v>
      </c>
      <c r="B4" s="3" t="s">
        <v>16</v>
      </c>
      <c r="C4" s="3" t="s">
        <v>17</v>
      </c>
      <c r="D4" s="3" t="s">
        <v>18</v>
      </c>
      <c r="E4">
        <v>2014</v>
      </c>
      <c r="F4" s="9">
        <v>18.75</v>
      </c>
      <c r="G4">
        <v>30</v>
      </c>
      <c r="H4" s="9">
        <f t="shared" si="0"/>
        <v>562.5</v>
      </c>
    </row>
    <row r="5" spans="1:8" x14ac:dyDescent="0.35">
      <c r="A5" t="s">
        <v>19</v>
      </c>
      <c r="B5" s="3">
        <v>1984</v>
      </c>
      <c r="C5" s="3" t="s">
        <v>20</v>
      </c>
      <c r="D5" s="3" t="s">
        <v>14</v>
      </c>
      <c r="E5">
        <v>1949</v>
      </c>
      <c r="F5" s="9">
        <v>10.199999999999999</v>
      </c>
      <c r="G5">
        <v>10</v>
      </c>
      <c r="H5" s="9">
        <f t="shared" si="0"/>
        <v>102</v>
      </c>
    </row>
    <row r="6" spans="1:8" x14ac:dyDescent="0.35">
      <c r="A6" t="s">
        <v>21</v>
      </c>
      <c r="B6" s="3" t="s">
        <v>22</v>
      </c>
      <c r="C6" s="3" t="s">
        <v>23</v>
      </c>
      <c r="D6" s="3" t="s">
        <v>24</v>
      </c>
      <c r="E6">
        <v>1954</v>
      </c>
      <c r="F6" s="9">
        <v>25</v>
      </c>
      <c r="G6">
        <v>8</v>
      </c>
      <c r="H6" s="9">
        <f t="shared" si="0"/>
        <v>200</v>
      </c>
    </row>
    <row r="7" spans="1:8" x14ac:dyDescent="0.35">
      <c r="A7" t="s">
        <v>25</v>
      </c>
      <c r="B7" s="3" t="s">
        <v>26</v>
      </c>
      <c r="C7" s="3" t="s">
        <v>27</v>
      </c>
      <c r="D7" s="3" t="s">
        <v>14</v>
      </c>
      <c r="E7">
        <v>1951</v>
      </c>
      <c r="F7" s="9">
        <v>11.8</v>
      </c>
      <c r="G7">
        <v>22</v>
      </c>
      <c r="H7" s="9">
        <f t="shared" si="0"/>
        <v>259.60000000000002</v>
      </c>
    </row>
    <row r="8" spans="1:8" x14ac:dyDescent="0.35">
      <c r="A8" t="s">
        <v>28</v>
      </c>
      <c r="B8" s="3" t="s">
        <v>29</v>
      </c>
      <c r="C8" s="3" t="s">
        <v>30</v>
      </c>
      <c r="D8" s="3" t="s">
        <v>31</v>
      </c>
      <c r="E8">
        <v>2018</v>
      </c>
      <c r="F8" s="9">
        <v>15.5</v>
      </c>
      <c r="G8">
        <v>40</v>
      </c>
      <c r="H8" s="9">
        <f t="shared" si="0"/>
        <v>620</v>
      </c>
    </row>
    <row r="9" spans="1:8" x14ac:dyDescent="0.35">
      <c r="A9" t="s">
        <v>32</v>
      </c>
      <c r="B9" s="3" t="s">
        <v>33</v>
      </c>
      <c r="C9" s="3" t="s">
        <v>34</v>
      </c>
      <c r="D9" s="3" t="s">
        <v>35</v>
      </c>
      <c r="E9">
        <v>2019</v>
      </c>
      <c r="F9" s="9">
        <v>13.99</v>
      </c>
      <c r="G9">
        <v>18</v>
      </c>
      <c r="H9" s="9">
        <f t="shared" si="0"/>
        <v>251.82</v>
      </c>
    </row>
    <row r="10" spans="1:8" x14ac:dyDescent="0.35">
      <c r="A10" t="s">
        <v>36</v>
      </c>
      <c r="B10" s="3" t="s">
        <v>37</v>
      </c>
      <c r="C10" s="3" t="s">
        <v>38</v>
      </c>
      <c r="D10" s="3" t="s">
        <v>10</v>
      </c>
      <c r="E10">
        <v>1965</v>
      </c>
      <c r="F10" s="9">
        <v>16.25</v>
      </c>
      <c r="G10">
        <v>12</v>
      </c>
      <c r="H10" s="9">
        <f t="shared" si="0"/>
        <v>195</v>
      </c>
    </row>
    <row r="11" spans="1:8" x14ac:dyDescent="0.35">
      <c r="A11" t="s">
        <v>39</v>
      </c>
      <c r="B11" s="3" t="s">
        <v>40</v>
      </c>
      <c r="C11" s="3" t="s">
        <v>41</v>
      </c>
      <c r="D11" s="3" t="s">
        <v>42</v>
      </c>
      <c r="E11">
        <v>2018</v>
      </c>
      <c r="F11" s="9">
        <v>17</v>
      </c>
      <c r="G11">
        <v>28</v>
      </c>
      <c r="H11" s="9">
        <f t="shared" si="0"/>
        <v>476</v>
      </c>
    </row>
    <row r="12" spans="1:8" x14ac:dyDescent="0.35">
      <c r="A12" t="s">
        <v>43</v>
      </c>
      <c r="B12" s="3" t="s">
        <v>45</v>
      </c>
      <c r="C12" s="3" t="s">
        <v>46</v>
      </c>
      <c r="D12" s="3" t="s">
        <v>47</v>
      </c>
      <c r="E12">
        <v>2020</v>
      </c>
      <c r="F12" s="9">
        <v>14.5</v>
      </c>
      <c r="G12">
        <v>35</v>
      </c>
      <c r="H12" s="9">
        <f t="shared" si="0"/>
        <v>507.5</v>
      </c>
    </row>
    <row r="13" spans="1:8" x14ac:dyDescent="0.35">
      <c r="A13" t="s">
        <v>44</v>
      </c>
      <c r="B13" s="3" t="s">
        <v>48</v>
      </c>
      <c r="C13" s="3" t="s">
        <v>49</v>
      </c>
      <c r="D13" s="3" t="s">
        <v>14</v>
      </c>
      <c r="E13">
        <v>2020</v>
      </c>
      <c r="F13" s="9">
        <v>12.75</v>
      </c>
      <c r="G13">
        <v>20</v>
      </c>
      <c r="H13" s="9">
        <f t="shared" si="0"/>
        <v>255</v>
      </c>
    </row>
    <row r="14" spans="1:8" x14ac:dyDescent="0.35">
      <c r="A14" t="s">
        <v>50</v>
      </c>
      <c r="B14" s="3" t="s">
        <v>51</v>
      </c>
      <c r="C14" s="3" t="s">
        <v>52</v>
      </c>
      <c r="D14" s="3" t="s">
        <v>35</v>
      </c>
      <c r="E14">
        <v>2018</v>
      </c>
      <c r="F14" s="9">
        <v>14</v>
      </c>
      <c r="G14">
        <v>25</v>
      </c>
      <c r="H14" s="9">
        <f t="shared" si="0"/>
        <v>350</v>
      </c>
    </row>
    <row r="15" spans="1:8" x14ac:dyDescent="0.35">
      <c r="A15" t="s">
        <v>53</v>
      </c>
      <c r="B15" s="3" t="s">
        <v>54</v>
      </c>
      <c r="C15" s="3" t="s">
        <v>55</v>
      </c>
      <c r="D15" s="3" t="s">
        <v>56</v>
      </c>
      <c r="E15">
        <v>2005</v>
      </c>
      <c r="F15" s="9">
        <v>11</v>
      </c>
      <c r="G15">
        <v>16</v>
      </c>
      <c r="H15" s="9">
        <f t="shared" si="0"/>
        <v>176</v>
      </c>
    </row>
    <row r="16" spans="1:8" x14ac:dyDescent="0.35">
      <c r="A16" t="s">
        <v>57</v>
      </c>
      <c r="B16" s="3" t="s">
        <v>58</v>
      </c>
      <c r="C16" s="3" t="s">
        <v>59</v>
      </c>
      <c r="D16" s="3" t="s">
        <v>14</v>
      </c>
      <c r="E16">
        <v>1988</v>
      </c>
      <c r="F16" s="9">
        <v>9.99</v>
      </c>
      <c r="G16">
        <v>30</v>
      </c>
      <c r="H16" s="9">
        <f t="shared" si="0"/>
        <v>299.7</v>
      </c>
    </row>
    <row r="17" spans="1:8" x14ac:dyDescent="0.35">
      <c r="A17" t="s">
        <v>60</v>
      </c>
      <c r="B17" s="3" t="s">
        <v>92</v>
      </c>
      <c r="C17" s="3" t="s">
        <v>62</v>
      </c>
      <c r="D17" s="3" t="s">
        <v>63</v>
      </c>
      <c r="E17">
        <v>2011</v>
      </c>
      <c r="F17" s="9">
        <v>19.95</v>
      </c>
      <c r="G17">
        <v>14</v>
      </c>
      <c r="H17" s="9">
        <f t="shared" si="0"/>
        <v>279.3</v>
      </c>
    </row>
    <row r="18" spans="1:8" x14ac:dyDescent="0.35">
      <c r="A18" t="s">
        <v>64</v>
      </c>
      <c r="B18" s="3" t="s">
        <v>65</v>
      </c>
      <c r="C18" s="3" t="s">
        <v>66</v>
      </c>
      <c r="D18" s="3" t="s">
        <v>35</v>
      </c>
      <c r="E18">
        <v>2005</v>
      </c>
      <c r="F18" s="9">
        <v>12.5</v>
      </c>
      <c r="G18">
        <v>22</v>
      </c>
      <c r="H18" s="9">
        <f t="shared" si="0"/>
        <v>275</v>
      </c>
    </row>
    <row r="19" spans="1:8" x14ac:dyDescent="0.35">
      <c r="A19" t="s">
        <v>67</v>
      </c>
      <c r="B19" s="3" t="s">
        <v>68</v>
      </c>
      <c r="C19" s="3" t="s">
        <v>69</v>
      </c>
      <c r="D19" s="3" t="s">
        <v>14</v>
      </c>
      <c r="E19">
        <v>2006</v>
      </c>
      <c r="F19" s="9">
        <v>10.75</v>
      </c>
      <c r="G19">
        <v>18</v>
      </c>
      <c r="H19" s="9">
        <f t="shared" si="0"/>
        <v>193.5</v>
      </c>
    </row>
    <row r="20" spans="1:8" x14ac:dyDescent="0.35">
      <c r="A20" t="s">
        <v>70</v>
      </c>
      <c r="B20" s="3" t="s">
        <v>71</v>
      </c>
      <c r="C20" s="3" t="s">
        <v>72</v>
      </c>
      <c r="D20" s="3" t="s">
        <v>73</v>
      </c>
      <c r="E20">
        <v>2011</v>
      </c>
      <c r="F20" s="9">
        <v>16.5</v>
      </c>
      <c r="G20">
        <v>15</v>
      </c>
      <c r="H20" s="9">
        <f t="shared" si="0"/>
        <v>247.5</v>
      </c>
    </row>
    <row r="21" spans="1:8" x14ac:dyDescent="0.35">
      <c r="A21" t="s">
        <v>74</v>
      </c>
      <c r="B21" s="3" t="s">
        <v>75</v>
      </c>
      <c r="C21" s="3" t="s">
        <v>76</v>
      </c>
      <c r="D21" s="3" t="s">
        <v>31</v>
      </c>
      <c r="E21">
        <v>1997</v>
      </c>
      <c r="F21" s="9">
        <v>13</v>
      </c>
      <c r="G21">
        <v>28</v>
      </c>
      <c r="H21" s="9">
        <f t="shared" si="0"/>
        <v>364</v>
      </c>
    </row>
    <row r="22" spans="1:8" x14ac:dyDescent="0.35">
      <c r="A22" t="s">
        <v>77</v>
      </c>
      <c r="B22" s="3" t="s">
        <v>78</v>
      </c>
      <c r="C22" s="3" t="s">
        <v>79</v>
      </c>
      <c r="D22" s="3" t="s">
        <v>24</v>
      </c>
      <c r="E22">
        <v>2007</v>
      </c>
      <c r="F22" s="9">
        <v>17.25</v>
      </c>
      <c r="G22">
        <v>10</v>
      </c>
      <c r="H22" s="9">
        <f t="shared" si="0"/>
        <v>172.5</v>
      </c>
    </row>
    <row r="23" spans="1:8" x14ac:dyDescent="0.35">
      <c r="A23" t="s">
        <v>80</v>
      </c>
      <c r="B23" s="3" t="s">
        <v>81</v>
      </c>
      <c r="C23" s="3" t="s">
        <v>82</v>
      </c>
      <c r="D23" s="3" t="s">
        <v>18</v>
      </c>
      <c r="E23">
        <v>2010</v>
      </c>
      <c r="F23" s="9">
        <v>15.8</v>
      </c>
      <c r="G23">
        <v>20</v>
      </c>
      <c r="H23" s="9">
        <f t="shared" si="0"/>
        <v>316</v>
      </c>
    </row>
    <row r="24" spans="1:8" x14ac:dyDescent="0.35">
      <c r="A24" t="s">
        <v>83</v>
      </c>
      <c r="B24" s="3" t="s">
        <v>84</v>
      </c>
      <c r="C24" s="3" t="s">
        <v>85</v>
      </c>
      <c r="D24" s="3" t="s">
        <v>10</v>
      </c>
      <c r="E24">
        <v>2011</v>
      </c>
      <c r="F24" s="9">
        <v>14.75</v>
      </c>
      <c r="G24">
        <v>30</v>
      </c>
      <c r="H24" s="9">
        <f t="shared" si="0"/>
        <v>442.5</v>
      </c>
    </row>
    <row r="25" spans="1:8" x14ac:dyDescent="0.35">
      <c r="A25" t="s">
        <v>86</v>
      </c>
      <c r="B25" s="3" t="s">
        <v>87</v>
      </c>
      <c r="C25" s="3" t="s">
        <v>88</v>
      </c>
      <c r="D25" s="3" t="s">
        <v>56</v>
      </c>
      <c r="E25">
        <v>2015</v>
      </c>
      <c r="F25" s="9">
        <v>13.5</v>
      </c>
      <c r="G25">
        <v>25</v>
      </c>
      <c r="H25" s="9">
        <f t="shared" si="0"/>
        <v>337.5</v>
      </c>
    </row>
    <row r="26" spans="1:8" x14ac:dyDescent="0.35">
      <c r="A26" t="s">
        <v>89</v>
      </c>
      <c r="B26" s="3" t="s">
        <v>90</v>
      </c>
      <c r="C26" s="3" t="s">
        <v>91</v>
      </c>
      <c r="D26" s="3" t="s">
        <v>14</v>
      </c>
      <c r="E26">
        <v>2003</v>
      </c>
      <c r="F26" s="9">
        <v>10.5</v>
      </c>
      <c r="G26">
        <v>18</v>
      </c>
      <c r="H26" s="9">
        <f t="shared" si="0"/>
        <v>189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A797-FB71-4EFA-ACC7-E51712CE1601}">
  <dimension ref="A1:B74"/>
  <sheetViews>
    <sheetView workbookViewId="0">
      <selection activeCell="B30" sqref="B30"/>
    </sheetView>
  </sheetViews>
  <sheetFormatPr defaultRowHeight="14.5" x14ac:dyDescent="0.35"/>
  <cols>
    <col min="1" max="1" width="31.26953125" bestFit="1" customWidth="1"/>
    <col min="2" max="2" width="22.26953125" bestFit="1" customWidth="1"/>
  </cols>
  <sheetData>
    <row r="1" spans="1:2" x14ac:dyDescent="0.35">
      <c r="A1" t="s">
        <v>121</v>
      </c>
    </row>
    <row r="2" spans="1:2" x14ac:dyDescent="0.35">
      <c r="A2">
        <v>25</v>
      </c>
    </row>
    <row r="4" spans="1:2" x14ac:dyDescent="0.35">
      <c r="A4" s="10" t="s">
        <v>119</v>
      </c>
      <c r="B4" t="s">
        <v>122</v>
      </c>
    </row>
    <row r="5" spans="1:2" x14ac:dyDescent="0.35">
      <c r="A5" s="11" t="s">
        <v>29</v>
      </c>
      <c r="B5" s="9">
        <v>620</v>
      </c>
    </row>
    <row r="6" spans="1:2" x14ac:dyDescent="0.35">
      <c r="A6" s="11" t="s">
        <v>16</v>
      </c>
      <c r="B6" s="9">
        <v>562.5</v>
      </c>
    </row>
    <row r="7" spans="1:2" x14ac:dyDescent="0.35">
      <c r="A7" s="11" t="s">
        <v>45</v>
      </c>
      <c r="B7" s="9">
        <v>507.5</v>
      </c>
    </row>
    <row r="8" spans="1:2" x14ac:dyDescent="0.35">
      <c r="A8" s="11" t="s">
        <v>40</v>
      </c>
      <c r="B8" s="9">
        <v>476</v>
      </c>
    </row>
    <row r="9" spans="1:2" x14ac:dyDescent="0.35">
      <c r="A9" s="11" t="s">
        <v>84</v>
      </c>
      <c r="B9" s="9">
        <v>442.5</v>
      </c>
    </row>
    <row r="10" spans="1:2" x14ac:dyDescent="0.35">
      <c r="A10" s="11" t="s">
        <v>75</v>
      </c>
      <c r="B10" s="9">
        <v>364</v>
      </c>
    </row>
    <row r="11" spans="1:2" x14ac:dyDescent="0.35">
      <c r="A11" s="11" t="s">
        <v>51</v>
      </c>
      <c r="B11" s="9">
        <v>350</v>
      </c>
    </row>
    <row r="12" spans="1:2" x14ac:dyDescent="0.35">
      <c r="A12" s="11" t="s">
        <v>87</v>
      </c>
      <c r="B12" s="9">
        <v>337.5</v>
      </c>
    </row>
    <row r="13" spans="1:2" x14ac:dyDescent="0.35">
      <c r="A13" s="11" t="s">
        <v>8</v>
      </c>
      <c r="B13" s="9">
        <v>324.75</v>
      </c>
    </row>
    <row r="14" spans="1:2" x14ac:dyDescent="0.35">
      <c r="A14" s="11" t="s">
        <v>81</v>
      </c>
      <c r="B14" s="9">
        <v>316</v>
      </c>
    </row>
    <row r="15" spans="1:2" x14ac:dyDescent="0.35">
      <c r="A15" s="11" t="s">
        <v>58</v>
      </c>
      <c r="B15" s="9">
        <v>299.7</v>
      </c>
    </row>
    <row r="16" spans="1:2" x14ac:dyDescent="0.35">
      <c r="A16" s="11" t="s">
        <v>92</v>
      </c>
      <c r="B16" s="9">
        <v>279.3</v>
      </c>
    </row>
    <row r="17" spans="1:2" x14ac:dyDescent="0.35">
      <c r="A17" s="11" t="s">
        <v>65</v>
      </c>
      <c r="B17" s="9">
        <v>275</v>
      </c>
    </row>
    <row r="18" spans="1:2" x14ac:dyDescent="0.35">
      <c r="A18" s="11" t="s">
        <v>26</v>
      </c>
      <c r="B18" s="9">
        <v>259.60000000000002</v>
      </c>
    </row>
    <row r="19" spans="1:2" x14ac:dyDescent="0.35">
      <c r="A19" s="11" t="s">
        <v>48</v>
      </c>
      <c r="B19" s="9">
        <v>255</v>
      </c>
    </row>
    <row r="20" spans="1:2" x14ac:dyDescent="0.35">
      <c r="A20" s="11" t="s">
        <v>33</v>
      </c>
      <c r="B20" s="9">
        <v>251.82</v>
      </c>
    </row>
    <row r="21" spans="1:2" x14ac:dyDescent="0.35">
      <c r="A21" s="11" t="s">
        <v>71</v>
      </c>
      <c r="B21" s="9">
        <v>247.5</v>
      </c>
    </row>
    <row r="22" spans="1:2" x14ac:dyDescent="0.35">
      <c r="A22" s="11" t="s">
        <v>22</v>
      </c>
      <c r="B22" s="9">
        <v>200</v>
      </c>
    </row>
    <row r="23" spans="1:2" x14ac:dyDescent="0.35">
      <c r="A23" s="11" t="s">
        <v>37</v>
      </c>
      <c r="B23" s="9">
        <v>195</v>
      </c>
    </row>
    <row r="24" spans="1:2" x14ac:dyDescent="0.35">
      <c r="A24" s="11" t="s">
        <v>68</v>
      </c>
      <c r="B24" s="9">
        <v>193.5</v>
      </c>
    </row>
    <row r="25" spans="1:2" x14ac:dyDescent="0.35">
      <c r="A25" s="11" t="s">
        <v>90</v>
      </c>
      <c r="B25" s="9">
        <v>189</v>
      </c>
    </row>
    <row r="26" spans="1:2" x14ac:dyDescent="0.35">
      <c r="A26" s="11" t="s">
        <v>54</v>
      </c>
      <c r="B26" s="9">
        <v>176</v>
      </c>
    </row>
    <row r="27" spans="1:2" x14ac:dyDescent="0.35">
      <c r="A27" s="11" t="s">
        <v>78</v>
      </c>
      <c r="B27" s="9">
        <v>172.5</v>
      </c>
    </row>
    <row r="28" spans="1:2" x14ac:dyDescent="0.35">
      <c r="A28" s="11" t="s">
        <v>12</v>
      </c>
      <c r="B28" s="9">
        <v>142.5</v>
      </c>
    </row>
    <row r="29" spans="1:2" x14ac:dyDescent="0.35">
      <c r="A29" s="11">
        <v>1984</v>
      </c>
      <c r="B29" s="9">
        <v>102</v>
      </c>
    </row>
    <row r="30" spans="1:2" x14ac:dyDescent="0.35">
      <c r="A30" s="11" t="s">
        <v>120</v>
      </c>
      <c r="B30" s="9">
        <v>7539.1699999999992</v>
      </c>
    </row>
    <row r="32" spans="1:2" x14ac:dyDescent="0.35">
      <c r="B32" t="s">
        <v>123</v>
      </c>
    </row>
    <row r="33" spans="1:2" x14ac:dyDescent="0.35">
      <c r="A33" s="11" t="s">
        <v>29</v>
      </c>
      <c r="B33">
        <v>40</v>
      </c>
    </row>
    <row r="34" spans="1:2" x14ac:dyDescent="0.35">
      <c r="A34" s="11" t="s">
        <v>45</v>
      </c>
      <c r="B34">
        <v>35</v>
      </c>
    </row>
    <row r="35" spans="1:2" x14ac:dyDescent="0.35">
      <c r="A35" s="11" t="s">
        <v>84</v>
      </c>
      <c r="B35">
        <v>30</v>
      </c>
    </row>
    <row r="36" spans="1:2" x14ac:dyDescent="0.35">
      <c r="A36" s="11" t="s">
        <v>16</v>
      </c>
      <c r="B36">
        <v>30</v>
      </c>
    </row>
    <row r="37" spans="1:2" x14ac:dyDescent="0.35">
      <c r="A37" s="11" t="s">
        <v>58</v>
      </c>
      <c r="B37">
        <v>30</v>
      </c>
    </row>
    <row r="38" spans="1:2" x14ac:dyDescent="0.35">
      <c r="A38" s="11" t="s">
        <v>75</v>
      </c>
      <c r="B38">
        <v>28</v>
      </c>
    </row>
    <row r="39" spans="1:2" x14ac:dyDescent="0.35">
      <c r="A39" s="11" t="s">
        <v>40</v>
      </c>
      <c r="B39">
        <v>28</v>
      </c>
    </row>
    <row r="40" spans="1:2" x14ac:dyDescent="0.35">
      <c r="A40" s="11" t="s">
        <v>87</v>
      </c>
      <c r="B40">
        <v>25</v>
      </c>
    </row>
    <row r="41" spans="1:2" x14ac:dyDescent="0.35">
      <c r="A41" s="11" t="s">
        <v>51</v>
      </c>
      <c r="B41">
        <v>25</v>
      </c>
    </row>
    <row r="42" spans="1:2" x14ac:dyDescent="0.35">
      <c r="A42" s="11" t="s">
        <v>8</v>
      </c>
      <c r="B42">
        <v>25</v>
      </c>
    </row>
    <row r="43" spans="1:2" x14ac:dyDescent="0.35">
      <c r="A43" s="11" t="s">
        <v>26</v>
      </c>
      <c r="B43">
        <v>22</v>
      </c>
    </row>
    <row r="44" spans="1:2" x14ac:dyDescent="0.35">
      <c r="A44" s="11" t="s">
        <v>65</v>
      </c>
      <c r="B44">
        <v>22</v>
      </c>
    </row>
    <row r="45" spans="1:2" x14ac:dyDescent="0.35">
      <c r="A45" s="11" t="s">
        <v>48</v>
      </c>
      <c r="B45">
        <v>20</v>
      </c>
    </row>
    <row r="46" spans="1:2" x14ac:dyDescent="0.35">
      <c r="A46" s="11" t="s">
        <v>81</v>
      </c>
      <c r="B46">
        <v>20</v>
      </c>
    </row>
    <row r="47" spans="1:2" x14ac:dyDescent="0.35">
      <c r="A47" s="11" t="s">
        <v>33</v>
      </c>
      <c r="B47">
        <v>18</v>
      </c>
    </row>
    <row r="48" spans="1:2" x14ac:dyDescent="0.35">
      <c r="A48" s="11" t="s">
        <v>68</v>
      </c>
      <c r="B48">
        <v>18</v>
      </c>
    </row>
    <row r="49" spans="1:2" x14ac:dyDescent="0.35">
      <c r="A49" s="11" t="s">
        <v>90</v>
      </c>
      <c r="B49">
        <v>18</v>
      </c>
    </row>
    <row r="50" spans="1:2" x14ac:dyDescent="0.35">
      <c r="A50" s="11" t="s">
        <v>54</v>
      </c>
      <c r="B50">
        <v>16</v>
      </c>
    </row>
    <row r="51" spans="1:2" x14ac:dyDescent="0.35">
      <c r="A51" s="11" t="s">
        <v>71</v>
      </c>
      <c r="B51">
        <v>15</v>
      </c>
    </row>
    <row r="52" spans="1:2" x14ac:dyDescent="0.35">
      <c r="A52" s="11" t="s">
        <v>12</v>
      </c>
      <c r="B52">
        <v>15</v>
      </c>
    </row>
    <row r="53" spans="1:2" x14ac:dyDescent="0.35">
      <c r="A53" s="11" t="s">
        <v>92</v>
      </c>
      <c r="B53">
        <v>14</v>
      </c>
    </row>
    <row r="54" spans="1:2" x14ac:dyDescent="0.35">
      <c r="A54" s="11" t="s">
        <v>37</v>
      </c>
      <c r="B54">
        <v>12</v>
      </c>
    </row>
    <row r="55" spans="1:2" x14ac:dyDescent="0.35">
      <c r="A55" s="11" t="s">
        <v>78</v>
      </c>
      <c r="B55">
        <v>10</v>
      </c>
    </row>
    <row r="56" spans="1:2" x14ac:dyDescent="0.35">
      <c r="A56" s="11">
        <v>1984</v>
      </c>
      <c r="B56">
        <v>10</v>
      </c>
    </row>
    <row r="57" spans="1:2" x14ac:dyDescent="0.35">
      <c r="A57" s="11" t="s">
        <v>22</v>
      </c>
      <c r="B57">
        <v>8</v>
      </c>
    </row>
    <row r="58" spans="1:2" x14ac:dyDescent="0.35">
      <c r="A58" s="11" t="s">
        <v>120</v>
      </c>
      <c r="B58">
        <v>21.36</v>
      </c>
    </row>
    <row r="62" spans="1:2" x14ac:dyDescent="0.35">
      <c r="A62" s="10" t="s">
        <v>119</v>
      </c>
      <c r="B62" t="s">
        <v>124</v>
      </c>
    </row>
    <row r="63" spans="1:2" x14ac:dyDescent="0.35">
      <c r="A63" s="11" t="s">
        <v>42</v>
      </c>
      <c r="B63">
        <v>1</v>
      </c>
    </row>
    <row r="64" spans="1:2" x14ac:dyDescent="0.35">
      <c r="A64" s="11" t="s">
        <v>73</v>
      </c>
      <c r="B64">
        <v>1</v>
      </c>
    </row>
    <row r="65" spans="1:2" x14ac:dyDescent="0.35">
      <c r="A65" s="11" t="s">
        <v>24</v>
      </c>
      <c r="B65">
        <v>1</v>
      </c>
    </row>
    <row r="66" spans="1:2" x14ac:dyDescent="0.35">
      <c r="A66" s="11" t="s">
        <v>14</v>
      </c>
      <c r="B66">
        <v>1</v>
      </c>
    </row>
    <row r="67" spans="1:2" x14ac:dyDescent="0.35">
      <c r="A67" s="11" t="s">
        <v>47</v>
      </c>
      <c r="B67">
        <v>1</v>
      </c>
    </row>
    <row r="68" spans="1:2" x14ac:dyDescent="0.35">
      <c r="A68" s="11" t="s">
        <v>56</v>
      </c>
      <c r="B68">
        <v>1</v>
      </c>
    </row>
    <row r="69" spans="1:2" x14ac:dyDescent="0.35">
      <c r="A69" s="11" t="s">
        <v>35</v>
      </c>
      <c r="B69">
        <v>1</v>
      </c>
    </row>
    <row r="70" spans="1:2" x14ac:dyDescent="0.35">
      <c r="A70" s="11" t="s">
        <v>18</v>
      </c>
      <c r="B70">
        <v>1</v>
      </c>
    </row>
    <row r="71" spans="1:2" x14ac:dyDescent="0.35">
      <c r="A71" s="11" t="s">
        <v>63</v>
      </c>
      <c r="B71">
        <v>1</v>
      </c>
    </row>
    <row r="72" spans="1:2" x14ac:dyDescent="0.35">
      <c r="A72" s="11" t="s">
        <v>10</v>
      </c>
      <c r="B72">
        <v>1</v>
      </c>
    </row>
    <row r="73" spans="1:2" x14ac:dyDescent="0.35">
      <c r="A73" s="11" t="s">
        <v>31</v>
      </c>
      <c r="B73">
        <v>1</v>
      </c>
    </row>
    <row r="74" spans="1:2" x14ac:dyDescent="0.35">
      <c r="A74" s="11" t="s">
        <v>120</v>
      </c>
      <c r="B74">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ADC5-12CE-4234-A7FA-3613C977336D}">
  <dimension ref="A1:B12"/>
  <sheetViews>
    <sheetView workbookViewId="0">
      <selection activeCell="L4" sqref="L4"/>
    </sheetView>
  </sheetViews>
  <sheetFormatPr defaultRowHeight="14.5" x14ac:dyDescent="0.35"/>
  <cols>
    <col min="1" max="1" width="31.26953125" bestFit="1" customWidth="1"/>
    <col min="2" max="2" width="14.36328125" bestFit="1" customWidth="1"/>
  </cols>
  <sheetData>
    <row r="1" spans="1:2" x14ac:dyDescent="0.35">
      <c r="A1" s="10" t="s">
        <v>119</v>
      </c>
      <c r="B1" t="s">
        <v>122</v>
      </c>
    </row>
    <row r="2" spans="1:2" x14ac:dyDescent="0.35">
      <c r="A2" s="11" t="s">
        <v>29</v>
      </c>
      <c r="B2" s="9">
        <v>620</v>
      </c>
    </row>
    <row r="3" spans="1:2" x14ac:dyDescent="0.35">
      <c r="A3" s="11" t="s">
        <v>16</v>
      </c>
      <c r="B3" s="9">
        <v>562.5</v>
      </c>
    </row>
    <row r="4" spans="1:2" x14ac:dyDescent="0.35">
      <c r="A4" s="11" t="s">
        <v>45</v>
      </c>
      <c r="B4" s="9">
        <v>507.5</v>
      </c>
    </row>
    <row r="5" spans="1:2" x14ac:dyDescent="0.35">
      <c r="A5" s="11" t="s">
        <v>40</v>
      </c>
      <c r="B5" s="9">
        <v>476</v>
      </c>
    </row>
    <row r="6" spans="1:2" x14ac:dyDescent="0.35">
      <c r="A6" s="11" t="s">
        <v>84</v>
      </c>
      <c r="B6" s="9">
        <v>442.5</v>
      </c>
    </row>
    <row r="7" spans="1:2" x14ac:dyDescent="0.35">
      <c r="A7" s="11" t="s">
        <v>75</v>
      </c>
      <c r="B7" s="9">
        <v>364</v>
      </c>
    </row>
    <row r="8" spans="1:2" x14ac:dyDescent="0.35">
      <c r="A8" s="11" t="s">
        <v>51</v>
      </c>
      <c r="B8" s="9">
        <v>350</v>
      </c>
    </row>
    <row r="9" spans="1:2" x14ac:dyDescent="0.35">
      <c r="A9" s="11" t="s">
        <v>87</v>
      </c>
      <c r="B9" s="9">
        <v>337.5</v>
      </c>
    </row>
    <row r="10" spans="1:2" x14ac:dyDescent="0.35">
      <c r="A10" s="11" t="s">
        <v>8</v>
      </c>
      <c r="B10" s="9">
        <v>324.75</v>
      </c>
    </row>
    <row r="11" spans="1:2" x14ac:dyDescent="0.35">
      <c r="A11" s="11" t="s">
        <v>81</v>
      </c>
      <c r="B11" s="9">
        <v>316</v>
      </c>
    </row>
    <row r="12" spans="1:2" x14ac:dyDescent="0.35">
      <c r="A12" s="11" t="s">
        <v>120</v>
      </c>
      <c r="B12" s="9">
        <v>4300.75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3E26-9941-4DC5-86F9-36BD9F0E4532}">
  <dimension ref="A1:B13"/>
  <sheetViews>
    <sheetView zoomScale="85" zoomScaleNormal="85" workbookViewId="0">
      <selection activeCell="Q4" sqref="Q4"/>
    </sheetView>
  </sheetViews>
  <sheetFormatPr defaultRowHeight="14.5" x14ac:dyDescent="0.35"/>
  <cols>
    <col min="1" max="1" width="14.81640625" bestFit="1" customWidth="1"/>
    <col min="2" max="2" width="14.54296875" bestFit="1" customWidth="1"/>
  </cols>
  <sheetData>
    <row r="1" spans="1:2" x14ac:dyDescent="0.35">
      <c r="A1" s="10" t="s">
        <v>119</v>
      </c>
      <c r="B1" t="s">
        <v>122</v>
      </c>
    </row>
    <row r="2" spans="1:2" x14ac:dyDescent="0.35">
      <c r="A2" s="11" t="s">
        <v>14</v>
      </c>
      <c r="B2" s="9">
        <v>1441.3</v>
      </c>
    </row>
    <row r="3" spans="1:2" x14ac:dyDescent="0.35">
      <c r="A3" s="11" t="s">
        <v>31</v>
      </c>
      <c r="B3" s="9">
        <v>984</v>
      </c>
    </row>
    <row r="4" spans="1:2" x14ac:dyDescent="0.35">
      <c r="A4" s="11" t="s">
        <v>10</v>
      </c>
      <c r="B4" s="9">
        <v>962.25</v>
      </c>
    </row>
    <row r="5" spans="1:2" x14ac:dyDescent="0.35">
      <c r="A5" s="11" t="s">
        <v>18</v>
      </c>
      <c r="B5" s="9">
        <v>878.5</v>
      </c>
    </row>
    <row r="6" spans="1:2" x14ac:dyDescent="0.35">
      <c r="A6" s="11" t="s">
        <v>35</v>
      </c>
      <c r="B6" s="9">
        <v>876.81999999999994</v>
      </c>
    </row>
    <row r="7" spans="1:2" x14ac:dyDescent="0.35">
      <c r="A7" s="11" t="s">
        <v>56</v>
      </c>
      <c r="B7" s="9">
        <v>513.5</v>
      </c>
    </row>
    <row r="8" spans="1:2" x14ac:dyDescent="0.35">
      <c r="A8" s="11" t="s">
        <v>47</v>
      </c>
      <c r="B8" s="9">
        <v>507.5</v>
      </c>
    </row>
    <row r="9" spans="1:2" x14ac:dyDescent="0.35">
      <c r="A9" s="11" t="s">
        <v>42</v>
      </c>
      <c r="B9" s="9">
        <v>476</v>
      </c>
    </row>
    <row r="10" spans="1:2" x14ac:dyDescent="0.35">
      <c r="A10" s="11" t="s">
        <v>24</v>
      </c>
      <c r="B10" s="9">
        <v>372.5</v>
      </c>
    </row>
    <row r="11" spans="1:2" x14ac:dyDescent="0.35">
      <c r="A11" s="11" t="s">
        <v>63</v>
      </c>
      <c r="B11" s="9">
        <v>279.3</v>
      </c>
    </row>
    <row r="12" spans="1:2" x14ac:dyDescent="0.35">
      <c r="A12" s="11" t="s">
        <v>73</v>
      </c>
      <c r="B12" s="9">
        <v>247.5</v>
      </c>
    </row>
    <row r="13" spans="1:2" x14ac:dyDescent="0.35">
      <c r="A13" s="11" t="s">
        <v>120</v>
      </c>
      <c r="B13" s="9">
        <v>7539.17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7D88-C589-486C-8D97-E288E96B5910}">
  <dimension ref="A2:B13"/>
  <sheetViews>
    <sheetView topLeftCell="A2" zoomScaleNormal="100" workbookViewId="0">
      <selection activeCell="K9" sqref="K9"/>
    </sheetView>
  </sheetViews>
  <sheetFormatPr defaultRowHeight="14.5" x14ac:dyDescent="0.35"/>
  <cols>
    <col min="1" max="1" width="15.1796875" bestFit="1" customWidth="1"/>
    <col min="2" max="2" width="14.36328125" bestFit="1" customWidth="1"/>
  </cols>
  <sheetData>
    <row r="2" spans="1:2" x14ac:dyDescent="0.35">
      <c r="A2" s="10" t="s">
        <v>119</v>
      </c>
      <c r="B2" t="s">
        <v>122</v>
      </c>
    </row>
    <row r="3" spans="1:2" x14ac:dyDescent="0.35">
      <c r="A3" s="11" t="s">
        <v>30</v>
      </c>
      <c r="B3" s="9">
        <v>620</v>
      </c>
    </row>
    <row r="4" spans="1:2" x14ac:dyDescent="0.35">
      <c r="A4" s="11" t="s">
        <v>17</v>
      </c>
      <c r="B4" s="9">
        <v>562.5</v>
      </c>
    </row>
    <row r="5" spans="1:2" x14ac:dyDescent="0.35">
      <c r="A5" s="11" t="s">
        <v>46</v>
      </c>
      <c r="B5" s="9">
        <v>507.5</v>
      </c>
    </row>
    <row r="6" spans="1:2" x14ac:dyDescent="0.35">
      <c r="A6" s="11" t="s">
        <v>41</v>
      </c>
      <c r="B6" s="9">
        <v>476</v>
      </c>
    </row>
    <row r="7" spans="1:2" x14ac:dyDescent="0.35">
      <c r="A7" s="11" t="s">
        <v>85</v>
      </c>
      <c r="B7" s="9">
        <v>442.5</v>
      </c>
    </row>
    <row r="8" spans="1:2" x14ac:dyDescent="0.35">
      <c r="A8" s="11" t="s">
        <v>76</v>
      </c>
      <c r="B8" s="9">
        <v>364</v>
      </c>
    </row>
    <row r="9" spans="1:2" x14ac:dyDescent="0.35">
      <c r="A9" s="11" t="s">
        <v>52</v>
      </c>
      <c r="B9" s="9">
        <v>350</v>
      </c>
    </row>
    <row r="10" spans="1:2" x14ac:dyDescent="0.35">
      <c r="A10" s="11" t="s">
        <v>88</v>
      </c>
      <c r="B10" s="9">
        <v>337.5</v>
      </c>
    </row>
    <row r="11" spans="1:2" x14ac:dyDescent="0.35">
      <c r="A11" s="11" t="s">
        <v>9</v>
      </c>
      <c r="B11" s="9">
        <v>324.75</v>
      </c>
    </row>
    <row r="12" spans="1:2" x14ac:dyDescent="0.35">
      <c r="A12" s="11" t="s">
        <v>82</v>
      </c>
      <c r="B12" s="9">
        <v>316</v>
      </c>
    </row>
    <row r="13" spans="1:2" x14ac:dyDescent="0.35">
      <c r="A13" s="11" t="s">
        <v>120</v>
      </c>
      <c r="B13" s="9">
        <v>4300.75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A449-167A-4C9E-8ABE-1DFC4980FA99}">
  <dimension ref="A1:B21"/>
  <sheetViews>
    <sheetView workbookViewId="0">
      <selection activeCell="K17" sqref="K17"/>
    </sheetView>
  </sheetViews>
  <sheetFormatPr defaultRowHeight="14.5" x14ac:dyDescent="0.35"/>
  <cols>
    <col min="1" max="1" width="12.453125" bestFit="1" customWidth="1"/>
    <col min="2" max="2" width="14.36328125" bestFit="1" customWidth="1"/>
  </cols>
  <sheetData>
    <row r="1" spans="1:2" x14ac:dyDescent="0.35">
      <c r="A1" s="10" t="s">
        <v>119</v>
      </c>
      <c r="B1" t="s">
        <v>122</v>
      </c>
    </row>
    <row r="2" spans="1:2" x14ac:dyDescent="0.35">
      <c r="A2" s="11">
        <v>1949</v>
      </c>
      <c r="B2" s="9">
        <v>102</v>
      </c>
    </row>
    <row r="3" spans="1:2" x14ac:dyDescent="0.35">
      <c r="A3" s="11">
        <v>1813</v>
      </c>
      <c r="B3" s="9">
        <v>142.5</v>
      </c>
    </row>
    <row r="4" spans="1:2" x14ac:dyDescent="0.35">
      <c r="A4" s="11">
        <v>2007</v>
      </c>
      <c r="B4" s="9">
        <v>172.5</v>
      </c>
    </row>
    <row r="5" spans="1:2" x14ac:dyDescent="0.35">
      <c r="A5" s="11">
        <v>2003</v>
      </c>
      <c r="B5" s="9">
        <v>189</v>
      </c>
    </row>
    <row r="6" spans="1:2" x14ac:dyDescent="0.35">
      <c r="A6" s="11">
        <v>2006</v>
      </c>
      <c r="B6" s="9">
        <v>193.5</v>
      </c>
    </row>
    <row r="7" spans="1:2" x14ac:dyDescent="0.35">
      <c r="A7" s="11">
        <v>1965</v>
      </c>
      <c r="B7" s="9">
        <v>195</v>
      </c>
    </row>
    <row r="8" spans="1:2" x14ac:dyDescent="0.35">
      <c r="A8" s="11">
        <v>1954</v>
      </c>
      <c r="B8" s="9">
        <v>200</v>
      </c>
    </row>
    <row r="9" spans="1:2" x14ac:dyDescent="0.35">
      <c r="A9" s="11">
        <v>2019</v>
      </c>
      <c r="B9" s="9">
        <v>251.82</v>
      </c>
    </row>
    <row r="10" spans="1:2" x14ac:dyDescent="0.35">
      <c r="A10" s="11">
        <v>1951</v>
      </c>
      <c r="B10" s="9">
        <v>259.60000000000002</v>
      </c>
    </row>
    <row r="11" spans="1:2" x14ac:dyDescent="0.35">
      <c r="A11" s="11">
        <v>1988</v>
      </c>
      <c r="B11" s="9">
        <v>299.7</v>
      </c>
    </row>
    <row r="12" spans="1:2" x14ac:dyDescent="0.35">
      <c r="A12" s="11">
        <v>2010</v>
      </c>
      <c r="B12" s="9">
        <v>316</v>
      </c>
    </row>
    <row r="13" spans="1:2" x14ac:dyDescent="0.35">
      <c r="A13" s="11">
        <v>1979</v>
      </c>
      <c r="B13" s="9">
        <v>324.75</v>
      </c>
    </row>
    <row r="14" spans="1:2" x14ac:dyDescent="0.35">
      <c r="A14" s="11">
        <v>2015</v>
      </c>
      <c r="B14" s="9">
        <v>337.5</v>
      </c>
    </row>
    <row r="15" spans="1:2" x14ac:dyDescent="0.35">
      <c r="A15" s="11">
        <v>1997</v>
      </c>
      <c r="B15" s="9">
        <v>364</v>
      </c>
    </row>
    <row r="16" spans="1:2" x14ac:dyDescent="0.35">
      <c r="A16" s="11">
        <v>2005</v>
      </c>
      <c r="B16" s="9">
        <v>451</v>
      </c>
    </row>
    <row r="17" spans="1:2" x14ac:dyDescent="0.35">
      <c r="A17" s="11">
        <v>2014</v>
      </c>
      <c r="B17" s="9">
        <v>562.5</v>
      </c>
    </row>
    <row r="18" spans="1:2" x14ac:dyDescent="0.35">
      <c r="A18" s="11">
        <v>2020</v>
      </c>
      <c r="B18" s="9">
        <v>762.5</v>
      </c>
    </row>
    <row r="19" spans="1:2" x14ac:dyDescent="0.35">
      <c r="A19" s="11">
        <v>2011</v>
      </c>
      <c r="B19" s="9">
        <v>969.3</v>
      </c>
    </row>
    <row r="20" spans="1:2" x14ac:dyDescent="0.35">
      <c r="A20" s="11">
        <v>2018</v>
      </c>
      <c r="B20" s="9">
        <v>1446</v>
      </c>
    </row>
    <row r="21" spans="1:2" x14ac:dyDescent="0.35">
      <c r="A21" s="11" t="s">
        <v>120</v>
      </c>
      <c r="B21" s="9">
        <v>7539.17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A3C7-EA9B-40E2-8D35-455580CA50AC}">
  <dimension ref="Q17"/>
  <sheetViews>
    <sheetView showGridLines="0" tabSelected="1" topLeftCell="C5" zoomScale="70" zoomScaleNormal="70" workbookViewId="0">
      <selection activeCell="AC24" sqref="AC24"/>
    </sheetView>
  </sheetViews>
  <sheetFormatPr defaultRowHeight="14.5" x14ac:dyDescent="0.35"/>
  <sheetData>
    <row r="17" spans="17:17" x14ac:dyDescent="0.35">
      <c r="Q1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Book Inventory</vt:lpstr>
      <vt:lpstr>Cleaned sheet</vt:lpstr>
      <vt:lpstr>Book Store Table</vt:lpstr>
      <vt:lpstr>Metrics</vt:lpstr>
      <vt:lpstr>Revenue By Book</vt:lpstr>
      <vt:lpstr>Revenue by Genre</vt:lpstr>
      <vt:lpstr>Revenue by Author</vt:lpstr>
      <vt:lpstr>Sales trend overtime</vt:lpstr>
      <vt:lpstr>Book Inventory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princess james</dc:creator>
  <cp:lastModifiedBy>princess james</cp:lastModifiedBy>
  <dcterms:created xsi:type="dcterms:W3CDTF">2026-01-21T09:41:24Z</dcterms:created>
  <dcterms:modified xsi:type="dcterms:W3CDTF">2026-02-14T01:16:30Z</dcterms:modified>
</cp:coreProperties>
</file>